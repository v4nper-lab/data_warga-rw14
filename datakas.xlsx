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/>
  <mc:AlternateContent xmlns:mc="http://schemas.openxmlformats.org/markup-compatibility/2006">
    <mc:Choice Requires="x15">
      <x15ac:absPath xmlns:x15ac="http://schemas.microsoft.com/office/spreadsheetml/2010/11/ac" url="C:\Users\M.FAHMI ILMAN N\Desktop\"/>
    </mc:Choice>
  </mc:AlternateContent>
  <xr:revisionPtr revIDLastSave="0" documentId="13_ncr:1_{D4F54358-B32A-4BF3-BDC2-22DDCBBD9F77}" xr6:coauthVersionLast="45" xr6:coauthVersionMax="45" xr10:uidLastSave="{00000000-0000-0000-0000-000000000000}"/>
  <bookViews>
    <workbookView xWindow="-120" yWindow="-120" windowWidth="29040" windowHeight="15840" tabRatio="691" xr2:uid="{00000000-000D-0000-FFFF-FFFF00000000}"/>
  </bookViews>
  <sheets>
    <sheet name="kas" sheetId="13" r:id="rId1"/>
    <sheet name="Jan'26" sheetId="2" state="hidden" r:id="rId2"/>
    <sheet name="Feb'26" sheetId="3" state="hidden" r:id="rId3"/>
    <sheet name="Bazar" sheetId="5" state="hidden" r:id="rId4"/>
    <sheet name="Mar'26" sheetId="4" state="hidden" r:id="rId5"/>
    <sheet name="Apr'26" sheetId="6" state="hidden" r:id="rId6"/>
    <sheet name="Mei'26" sheetId="7" state="hidden" r:id="rId7"/>
    <sheet name="Juni'26" sheetId="8" state="hidden" r:id="rId8"/>
    <sheet name="Juli'26" sheetId="9" state="hidden" r:id="rId9"/>
    <sheet name="Agust'26" sheetId="10" state="hidden" r:id="rId10"/>
    <sheet name="Rekap" sheetId="11" state="hidden" r:id="rId11"/>
  </sheets>
  <definedNames>
    <definedName name="_xlnm._FilterDatabase" localSheetId="7" hidden="1">'Juni''26'!$A$3:$IV$36</definedName>
    <definedName name="_xlnm._FilterDatabase" localSheetId="6" hidden="1">'Mei''26'!$A$3:$IV$33</definedName>
    <definedName name="_xlnm.Print_Area" localSheetId="5">'Apr''26'!$A$1:$E$26</definedName>
    <definedName name="_xlnm.Print_Area" localSheetId="2">'Feb''26'!$A$1:$E$28</definedName>
    <definedName name="_xlnm.Print_Area" localSheetId="1">'Jan''26'!$A$1:$E$35</definedName>
    <definedName name="_xlnm.Print_Area" localSheetId="7">'Juni''26'!$A$1:$E$40</definedName>
    <definedName name="_xlnm.Print_Area" localSheetId="0">kas!$A$1:$E$104</definedName>
    <definedName name="_xlnm.Print_Area" localSheetId="4">'Mar''26'!$A$1:$E$36</definedName>
    <definedName name="_xlnm.Print_Area" localSheetId="6">'Mei''26'!$A$1:$E$34</definedName>
    <definedName name="_xlnm.Print_Titles" localSheetId="1">'Jan''26'!$3:$3</definedName>
    <definedName name="_xlnm.Print_Titles" localSheetId="7">'Juni''26'!$3:$3</definedName>
    <definedName name="_xlnm.Print_Titles" localSheetId="0">kas!$1:$1</definedName>
  </definedNames>
  <calcPr calcId="191029"/>
</workbook>
</file>

<file path=xl/calcChain.xml><?xml version="1.0" encoding="utf-8"?>
<calcChain xmlns="http://schemas.openxmlformats.org/spreadsheetml/2006/main">
  <c r="E2" i="13" l="1"/>
  <c r="E3" i="13" s="1"/>
  <c r="E4" i="13" s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C29" i="11" l="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D16" i="11"/>
  <c r="C16" i="11"/>
  <c r="H20" i="10"/>
  <c r="C19" i="10"/>
  <c r="G17" i="10"/>
  <c r="C17" i="10"/>
  <c r="G15" i="10"/>
  <c r="E15" i="10"/>
  <c r="D15" i="10"/>
  <c r="C15" i="10"/>
  <c r="E14" i="10"/>
  <c r="E13" i="10"/>
  <c r="E12" i="10"/>
  <c r="E11" i="10"/>
  <c r="E10" i="10"/>
  <c r="E9" i="10"/>
  <c r="E8" i="10"/>
  <c r="E7" i="10"/>
  <c r="E6" i="10"/>
  <c r="E5" i="10"/>
  <c r="E4" i="10"/>
  <c r="C4" i="10"/>
  <c r="C28" i="9"/>
  <c r="G26" i="9"/>
  <c r="C26" i="9"/>
  <c r="G24" i="9"/>
  <c r="E24" i="9"/>
  <c r="D24" i="9"/>
  <c r="C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C4" i="9"/>
  <c r="C33" i="8"/>
  <c r="G31" i="8"/>
  <c r="C31" i="8"/>
  <c r="G29" i="8"/>
  <c r="E29" i="8"/>
  <c r="D29" i="8"/>
  <c r="C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C4" i="8"/>
  <c r="C26" i="7"/>
  <c r="G24" i="7"/>
  <c r="C24" i="7"/>
  <c r="G22" i="7"/>
  <c r="E22" i="7"/>
  <c r="D22" i="7"/>
  <c r="C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C4" i="7"/>
  <c r="C19" i="6"/>
  <c r="G17" i="6"/>
  <c r="C17" i="6"/>
  <c r="G15" i="6"/>
  <c r="E15" i="6"/>
  <c r="D15" i="6"/>
  <c r="C15" i="6"/>
  <c r="E14" i="6"/>
  <c r="E13" i="6"/>
  <c r="E12" i="6"/>
  <c r="E11" i="6"/>
  <c r="E10" i="6"/>
  <c r="E9" i="6"/>
  <c r="E8" i="6"/>
  <c r="E7" i="6"/>
  <c r="E6" i="6"/>
  <c r="E5" i="6"/>
  <c r="E4" i="6"/>
  <c r="C4" i="6"/>
  <c r="C29" i="4"/>
  <c r="G27" i="4"/>
  <c r="C27" i="4"/>
  <c r="G25" i="4"/>
  <c r="E25" i="4"/>
  <c r="D25" i="4"/>
  <c r="C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C4" i="4"/>
  <c r="E41" i="5"/>
  <c r="D41" i="5"/>
  <c r="C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C21" i="3"/>
  <c r="G19" i="3"/>
  <c r="C19" i="3"/>
  <c r="G17" i="3"/>
  <c r="E17" i="3"/>
  <c r="D17" i="3"/>
  <c r="C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C4" i="3"/>
  <c r="C28" i="2"/>
  <c r="G26" i="2"/>
  <c r="C26" i="2"/>
  <c r="G24" i="2"/>
  <c r="E24" i="2"/>
  <c r="D24" i="2"/>
  <c r="C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<sst xmlns="http://schemas.openxmlformats.org/spreadsheetml/2006/main" count="486" uniqueCount="190">
  <si>
    <t>LAPORAN KEUANGAN RW.014 GRIYA PERMATA RAYA</t>
  </si>
  <si>
    <t>Periode : Januari 2026</t>
  </si>
  <si>
    <t>Tgl</t>
  </si>
  <si>
    <t>Keterangan</t>
  </si>
  <si>
    <t>Pemasukan</t>
  </si>
  <si>
    <t>Pengeluaran</t>
  </si>
  <si>
    <t>Saldo</t>
  </si>
  <si>
    <t>Saldo Akhir Desember 2025</t>
  </si>
  <si>
    <t>Perawatan bibit tanaman untuk lapang utama :
Pembelian tanah lembang</t>
  </si>
  <si>
    <t>Pembelian sekam &amp; polybag</t>
  </si>
  <si>
    <t>Konsumsi</t>
  </si>
  <si>
    <t>Kopi &amp; gula ronda RW</t>
  </si>
  <si>
    <t>Kertas karton untuk kartu iuran warung dan iuran RT</t>
  </si>
  <si>
    <t>Retribusi warung &amp; garasi</t>
  </si>
  <si>
    <t>Donasi warga untuk pekerjaan lapangan utama</t>
  </si>
  <si>
    <t>Pembelian busi &amp; bensin mesin potong rumput</t>
  </si>
  <si>
    <t>Giat Posyandu Jan'26</t>
  </si>
  <si>
    <t>Kontribusi KSM Jan'26</t>
  </si>
  <si>
    <t>Penggantian sisa semen 3 zak</t>
  </si>
  <si>
    <t>Konsumsi rapat pengurus RW dengan pengurus RT</t>
  </si>
  <si>
    <t>Konsumsi rapat pengurus RT, RW dengan Kades</t>
  </si>
  <si>
    <t>Konsumsi rapat laporan akhir tahunan kepengurusan RW periode 2025</t>
  </si>
  <si>
    <t>Pak Agus</t>
  </si>
  <si>
    <t>Iuran RT.001 - 007 Jan'26</t>
  </si>
  <si>
    <t>Denda ronda RW (RT.001 - 007) periode 26 Des'25 - 25 Jan'26</t>
  </si>
  <si>
    <t>Pak Ali</t>
  </si>
  <si>
    <t>Pak Dedi</t>
  </si>
  <si>
    <t>Total Keuangan Januari 2026</t>
  </si>
  <si>
    <t>JUMLAH PEMASUKAN JANUARI 2026</t>
  </si>
  <si>
    <t>JUMLAH PENGELUARAN JANUARI 2026</t>
  </si>
  <si>
    <t>Rancaekek, 10 Februari 2026</t>
  </si>
  <si>
    <t>Mengetahui</t>
  </si>
  <si>
    <t>Penyusun</t>
  </si>
  <si>
    <t>Agus Hendra</t>
  </si>
  <si>
    <t>Aan Toni F</t>
  </si>
  <si>
    <t>Ketua RT</t>
  </si>
  <si>
    <t>Bendahara RT</t>
  </si>
  <si>
    <t>Periode : Februari 2026</t>
  </si>
  <si>
    <t>Saldo Akhir Januari 2026</t>
  </si>
  <si>
    <t>Giat Posyandu Feb'26</t>
  </si>
  <si>
    <t>Penggantian sisa semen 2 zak</t>
  </si>
  <si>
    <t>Konsumsi rapat rencana bazar Ramadhan</t>
  </si>
  <si>
    <t>Pengadaan lampu PJU 3 set</t>
  </si>
  <si>
    <t>Kontribusi KSM Feb'26</t>
  </si>
  <si>
    <t>Konsumsi rapat RW dengan pengurus RT</t>
  </si>
  <si>
    <t>Iuran RT.001 - 007 Feb'26</t>
  </si>
  <si>
    <t>Denda ronda RW (RT.001 - 007) periode 26 Jan - 25 Feb'26</t>
  </si>
  <si>
    <t>Total Keuangan Februari 2026</t>
  </si>
  <si>
    <t>JUMLAH PEMASUKAN FEBRUARI 2026</t>
  </si>
  <si>
    <t>JUMLAH PENGELUARAN FEBRUARI 2026</t>
  </si>
  <si>
    <t>Rancaekek, 06 Maret 2026</t>
  </si>
  <si>
    <t>REKAP KEUANGAN BAZAR RAMADHAN 1447H/ 2026M</t>
  </si>
  <si>
    <t>RW.014 GRIYA PERMATA RAYA</t>
  </si>
  <si>
    <t>Tanggal</t>
  </si>
  <si>
    <t>Catatan</t>
  </si>
  <si>
    <t>Retribusi bazar hari 1</t>
  </si>
  <si>
    <t>Retribusi bazar hari 2</t>
  </si>
  <si>
    <t>Retribusi bazar hari 3</t>
  </si>
  <si>
    <t>Retribusi bazar hari 4</t>
  </si>
  <si>
    <t>Retribusi bazar hari 5</t>
  </si>
  <si>
    <t>Retribusi bazar hari 6</t>
  </si>
  <si>
    <t>Retribusi bazar hari 7</t>
  </si>
  <si>
    <t>Kebersihan bazar pekan I</t>
  </si>
  <si>
    <t>Retribusi bazar hari 8</t>
  </si>
  <si>
    <t>Retribusi bazar hari 9</t>
  </si>
  <si>
    <t>Retribusi bazar hari 10</t>
  </si>
  <si>
    <t>Retribusi bazar hari 11</t>
  </si>
  <si>
    <t>Retribusi bazar hari 12</t>
  </si>
  <si>
    <t>Retribusi bazar hari 13</t>
  </si>
  <si>
    <t>Retribusi bazar hari 14</t>
  </si>
  <si>
    <t>Kebersihan bazar pekan II</t>
  </si>
  <si>
    <t>Retribusi bazar hari 15</t>
  </si>
  <si>
    <t>Retribusi bazar hari 16</t>
  </si>
  <si>
    <t>Retribusi bazar hari 17</t>
  </si>
  <si>
    <t>Retribusi bazar hari 18</t>
  </si>
  <si>
    <t>Retribusi bazar hari 19</t>
  </si>
  <si>
    <t>Retribusi bazar hari 20</t>
  </si>
  <si>
    <t>Hujan</t>
  </si>
  <si>
    <t>Retribusi bazar hari 21</t>
  </si>
  <si>
    <t>Kebersihan bazar pekan III</t>
  </si>
  <si>
    <t>Retribusi bazar hari 22</t>
  </si>
  <si>
    <t>Retribusi bazar hari 23</t>
  </si>
  <si>
    <t>Retribusi bazar hari 24</t>
  </si>
  <si>
    <t>Retribusi bazar hari 25</t>
  </si>
  <si>
    <t>Retribusi bazar hari 26</t>
  </si>
  <si>
    <t>Dikelola Pemuda</t>
  </si>
  <si>
    <t>Retribusi bazar hari 27</t>
  </si>
  <si>
    <t>Retribusi bazar hari 28</t>
  </si>
  <si>
    <t>Retribusi bazar hari 29</t>
  </si>
  <si>
    <t>Retribusi bazar hari 30</t>
  </si>
  <si>
    <t>Kebersihan bazar pekan IV</t>
  </si>
  <si>
    <t>Kadeudeuh koordinator kebersihan</t>
  </si>
  <si>
    <t>Pengadaan rompi RW</t>
  </si>
  <si>
    <t>Total</t>
  </si>
  <si>
    <t>Periode : Maret 2026</t>
  </si>
  <si>
    <t>Saldo Akhir Februari 2026</t>
  </si>
  <si>
    <t>Pembelian kabel untuk lampu PJU</t>
  </si>
  <si>
    <t>Subsidi biaya tambah daya KWH meter pos ronda RW</t>
  </si>
  <si>
    <t>Konsumsi rapat dengan pengurus RT</t>
  </si>
  <si>
    <t>Giat Posyandu Mar'26</t>
  </si>
  <si>
    <t>Kontribusi KSM Mar'26</t>
  </si>
  <si>
    <t>Pembelian tambahan kabel lampu PJU</t>
  </si>
  <si>
    <t>Konsumsi rapat dengan Pemuda</t>
  </si>
  <si>
    <t>Retribusi bazar Ramadhan</t>
  </si>
  <si>
    <t>Konsumsi giat kebersihan di lapangan utama</t>
  </si>
  <si>
    <t>Pembelian busi mesin potong rumput</t>
  </si>
  <si>
    <t>Penyerahan kontribusi giat Halal Bihalal kepada DKM UBK</t>
  </si>
  <si>
    <t xml:space="preserve"> </t>
  </si>
  <si>
    <t>Pembelian bensin mesin potong rumput</t>
  </si>
  <si>
    <t>Iuran RT.001 - 007 Mar'26</t>
  </si>
  <si>
    <t>Denda ronda RW (RT.001 - 007) periode 26 Feb - 25 Mar'26</t>
  </si>
  <si>
    <t>Total Keuangan Maret 2026</t>
  </si>
  <si>
    <t>JUMLAH PEMASUKAN MARET 2026</t>
  </si>
  <si>
    <t>JUMLAH PENGELUARAN MARET 2026</t>
  </si>
  <si>
    <t>Rancaekek, 10 April 2026</t>
  </si>
  <si>
    <t>Periode : April 2026</t>
  </si>
  <si>
    <t>Saldo Akhir Maret 2026</t>
  </si>
  <si>
    <t>Giat Posyandu Apr'26</t>
  </si>
  <si>
    <t>Kontribusi KSM Apr'26</t>
  </si>
  <si>
    <t>Konsumsi Muswe perihal pengelolaan sampah</t>
  </si>
  <si>
    <t>Konsumi rapat Pengurus RT, RW, dan Kades</t>
  </si>
  <si>
    <t>Total Keuangan April 2026</t>
  </si>
  <si>
    <t>JUMLAH PEMASUKAN APRIL 2026</t>
  </si>
  <si>
    <t>JUMLAH PENGELUARAN APRIL 2026</t>
  </si>
  <si>
    <t>Rancaekek, 05 Mei 2026</t>
  </si>
  <si>
    <t>Periode : Mei 2026</t>
  </si>
  <si>
    <t>Saldo Akhir April 2026</t>
  </si>
  <si>
    <t>Iuran RT.001 - 007 April'26</t>
  </si>
  <si>
    <t>Denda ronda RW (RT.001 - 007) periode 26 Mar - 25 April'26</t>
  </si>
  <si>
    <t>Konsumsi rapat Pengurus RW dengan Pengurus RT</t>
  </si>
  <si>
    <t>Biaya penarikan I sampah oleh Bumdes Cimanggung</t>
  </si>
  <si>
    <t>Konsumsi pembersihan lapangan utama</t>
  </si>
  <si>
    <t>Busi mesin potong rumput</t>
  </si>
  <si>
    <t>Giat Posyandu Mei'26</t>
  </si>
  <si>
    <t>Biaya penarikan II sampah oleh Bumdes Cimanggung</t>
  </si>
  <si>
    <t>Kontribusi Yayasan UBK (air bersih)</t>
  </si>
  <si>
    <t>Total Keuangan Mei 2026</t>
  </si>
  <si>
    <t>JUMLAH PEMASUKAN MEI 2026</t>
  </si>
  <si>
    <t>JUMLAH PENGELUARAN MEI 2026</t>
  </si>
  <si>
    <t>Rancaekek, 12 Juni 2026</t>
  </si>
  <si>
    <t>Triyadi Sucipto</t>
  </si>
  <si>
    <t>Ketua RW</t>
  </si>
  <si>
    <t>Bendahara RW</t>
  </si>
  <si>
    <t>Periode : Juni 2026</t>
  </si>
  <si>
    <t>Saldo Akhir Mei 2026</t>
  </si>
  <si>
    <t>Iuran RT.001 - 007 Mei'26</t>
  </si>
  <si>
    <t>Denda ronda RW (RT.001 - 007) periode 26 April - 25 Mei'26</t>
  </si>
  <si>
    <t>Giat Posyandu Juni 2026</t>
  </si>
  <si>
    <t>Retribusi sampah RW periode Mei 2026 RT.001</t>
  </si>
  <si>
    <t>Retribusi sampah RW periode Mei 2026 RT.002</t>
  </si>
  <si>
    <t>Retribusi sampah RW periode Mei 2026 RT.003</t>
  </si>
  <si>
    <t>Retribusi sampah RW periode Mei 2026 RT.004</t>
  </si>
  <si>
    <t>Retribusi sampah RW periode Mei 2026 RT.005</t>
  </si>
  <si>
    <t>Retribusi sampah RW periode Mei 2026 RT.006</t>
  </si>
  <si>
    <t>Retribusi sampah RW periode Mei 2026 RT.007</t>
  </si>
  <si>
    <t>Konsumsi rapat Pengurus RW, Pengurus RT dengan pihak Penarik Sampah</t>
  </si>
  <si>
    <t>Kopi + rokok penarik sampah</t>
  </si>
  <si>
    <t>Survey jalan</t>
  </si>
  <si>
    <t>Biaya penarikan sampah (20 Juni &amp; 04 Juli 2026 )</t>
  </si>
  <si>
    <t>Kopi + gula ronda RW</t>
  </si>
  <si>
    <t>Iuran RT.001 - 007 Juni'26</t>
  </si>
  <si>
    <t>Denda ronda RW (RT.001 - 007) periode 26 Mei - 25 Juni'26</t>
  </si>
  <si>
    <t>Total Keuangan Juni 2026</t>
  </si>
  <si>
    <t>JUMLAH PEMASUKAN JUNI 2026</t>
  </si>
  <si>
    <t>JUMLAH PENGELUARAN JUNI 2026</t>
  </si>
  <si>
    <t>Rancaekek, 07 Juli 2026</t>
  </si>
  <si>
    <t>Periode : Juli 2026</t>
  </si>
  <si>
    <t>Total Keuangan Juli 2026</t>
  </si>
  <si>
    <t>JUMLAH PEMASUKAN JULI 2026</t>
  </si>
  <si>
    <t>JUMLAH PENGELUARAN JULI 2026</t>
  </si>
  <si>
    <t>Rancaekek, 05 Agustus 2026</t>
  </si>
  <si>
    <t>Periode : Agustus 2026</t>
  </si>
  <si>
    <t>Rancaekek, 05 Juni 2026</t>
  </si>
  <si>
    <t>REKAP BIAYA PENGELOLAAN SAMPAH RW.014</t>
  </si>
  <si>
    <t>PERIODE MEI - JUNI 2026</t>
  </si>
  <si>
    <t>REKAP KEUANGAN RW.014</t>
  </si>
  <si>
    <t>PERIODE JAN - JUNI 2026</t>
  </si>
  <si>
    <t>Bulan</t>
  </si>
  <si>
    <t>Januari</t>
  </si>
  <si>
    <t>Februari</t>
  </si>
  <si>
    <t>Maret</t>
  </si>
  <si>
    <t>April</t>
  </si>
  <si>
    <t>Mei</t>
  </si>
  <si>
    <t>Juni</t>
  </si>
  <si>
    <t>JUMLAH</t>
  </si>
  <si>
    <t>TANGGAL</t>
  </si>
  <si>
    <t>KETERANGAN</t>
  </si>
  <si>
    <t>PEMASUKAN</t>
  </si>
  <si>
    <t>SALDO</t>
  </si>
  <si>
    <t>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</si>
</sst>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21]dd\ mmmm\ yyyy;@"/>
    <numFmt numFmtId="165" formatCode="_-[$Rp-421]* #,##0_-;\-[$Rp-421]* #,##0_-;_-[$Rp-421]* &quot;-&quot;_-;_-@_-"/>
    <numFmt numFmtId="166" formatCode="_([$Rp-421]* #,##0_);_([$Rp-421]* \(#,##0\);_([$Rp-421]* &quot;-&quot;_);_(@_)"/>
  </numFmts>
  <fonts count="15">
    <font>
      <sz val="11"/>
      <color theme="1"/>
      <name val="Calibri"/>
      <charset val="1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 tint="-0.499984740745262"/>
      <name val="Calibri"/>
      <charset val="134"/>
      <scheme val="minor"/>
    </font>
    <font>
      <sz val="12"/>
      <color theme="0" tint="-0.499984740745262"/>
      <name val="Calibri"/>
      <charset val="134"/>
      <scheme val="minor"/>
    </font>
    <font>
      <b/>
      <sz val="12"/>
      <color theme="0" tint="-0.499984740745262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 val="singleAccounting"/>
      <sz val="11"/>
      <color theme="1"/>
      <name val="Calibri"/>
      <charset val="134"/>
      <scheme val="minor"/>
    </font>
    <font>
      <b/>
      <sz val="11"/>
      <color theme="0"/>
      <name val="Calibri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64" fontId="2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165" fontId="1" fillId="0" borderId="0" xfId="0" applyNumberFormat="1" applyFont="1" applyFill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vertical="center"/>
    </xf>
    <xf numFmtId="0" fontId="0" fillId="0" borderId="1" xfId="0" applyBorder="1"/>
    <xf numFmtId="165" fontId="0" fillId="0" borderId="1" xfId="0" applyNumberFormat="1" applyBorder="1"/>
    <xf numFmtId="0" fontId="4" fillId="0" borderId="1" xfId="0" applyFont="1" applyBorder="1"/>
    <xf numFmtId="165" fontId="4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6" fontId="5" fillId="6" borderId="0" xfId="0" applyNumberFormat="1" applyFont="1" applyFill="1" applyAlignment="1">
      <alignment vertical="center"/>
    </xf>
    <xf numFmtId="165" fontId="5" fillId="5" borderId="2" xfId="0" applyNumberFormat="1" applyFont="1" applyFill="1" applyBorder="1" applyAlignment="1">
      <alignment vertical="center"/>
    </xf>
    <xf numFmtId="166" fontId="5" fillId="5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 wrapText="1"/>
    </xf>
    <xf numFmtId="165" fontId="3" fillId="0" borderId="1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166" fontId="5" fillId="0" borderId="0" xfId="0" applyNumberFormat="1" applyFont="1" applyAlignment="1">
      <alignment vertical="top"/>
    </xf>
    <xf numFmtId="166" fontId="5" fillId="0" borderId="0" xfId="0" applyNumberFormat="1" applyFont="1" applyAlignment="1">
      <alignment vertical="center"/>
    </xf>
    <xf numFmtId="164" fontId="3" fillId="3" borderId="1" xfId="0" applyNumberFormat="1" applyFont="1" applyFill="1" applyBorder="1" applyAlignment="1">
      <alignment vertical="top"/>
    </xf>
    <xf numFmtId="166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5" fontId="5" fillId="5" borderId="4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5" fillId="7" borderId="1" xfId="0" applyNumberFormat="1" applyFont="1" applyFill="1" applyBorder="1" applyAlignment="1">
      <alignment vertical="center"/>
    </xf>
    <xf numFmtId="166" fontId="11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65" fontId="5" fillId="8" borderId="1" xfId="0" applyNumberFormat="1" applyFont="1" applyFill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 vertical="center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164" fontId="12" fillId="0" borderId="0" xfId="0" applyNumberFormat="1" applyFont="1" applyAlignment="1">
      <alignment horizontal="left"/>
    </xf>
    <xf numFmtId="165" fontId="13" fillId="0" borderId="0" xfId="0" applyNumberFormat="1" applyFont="1" applyAlignment="1">
      <alignment vertical="center"/>
    </xf>
    <xf numFmtId="164" fontId="3" fillId="3" borderId="4" xfId="0" applyNumberFormat="1" applyFont="1" applyFill="1" applyBorder="1" applyAlignment="1">
      <alignment vertical="top"/>
    </xf>
    <xf numFmtId="166" fontId="8" fillId="0" borderId="0" xfId="0" applyNumberFormat="1" applyFont="1" applyAlignment="1">
      <alignment horizontal="left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5" fontId="3" fillId="3" borderId="1" xfId="0" applyNumberFormat="1" applyFont="1" applyFill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166" fontId="3" fillId="0" borderId="3" xfId="0" applyNumberFormat="1" applyFont="1" applyBorder="1" applyAlignment="1">
      <alignment vertical="top"/>
    </xf>
    <xf numFmtId="164" fontId="3" fillId="3" borderId="2" xfId="0" applyNumberFormat="1" applyFont="1" applyFill="1" applyBorder="1" applyAlignment="1">
      <alignment vertical="top"/>
    </xf>
    <xf numFmtId="164" fontId="3" fillId="3" borderId="5" xfId="0" applyNumberFormat="1" applyFont="1" applyFill="1" applyBorder="1" applyAlignment="1">
      <alignment vertical="top"/>
    </xf>
    <xf numFmtId="164" fontId="7" fillId="4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65" fontId="7" fillId="4" borderId="1" xfId="0" applyNumberFormat="1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center" vertical="top"/>
    </xf>
    <xf numFmtId="164" fontId="3" fillId="3" borderId="4" xfId="0" applyNumberFormat="1" applyFont="1" applyFill="1" applyBorder="1" applyAlignment="1">
      <alignment horizontal="center" vertical="top"/>
    </xf>
    <xf numFmtId="164" fontId="3" fillId="3" borderId="5" xfId="0" applyNumberFormat="1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5" fillId="5" borderId="4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165" fontId="1" fillId="0" borderId="0" xfId="0" applyNumberFormat="1" applyFont="1" applyFill="1" applyAlignment="1">
      <alignment horizontal="center" vertical="center"/>
    </xf>
    <xf numFmtId="166" fontId="7" fillId="4" borderId="1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horizontal="left" vertical="top"/>
    </xf>
    <xf numFmtId="164" fontId="3" fillId="3" borderId="5" xfId="0" applyNumberFormat="1" applyFont="1" applyFill="1" applyBorder="1" applyAlignment="1">
      <alignment horizontal="left" vertical="top"/>
    </xf>
    <xf numFmtId="164" fontId="3" fillId="3" borderId="4" xfId="0" applyNumberFormat="1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center"/>
    </xf>
    <xf numFmtId="164" fontId="3" fillId="3" borderId="4" xfId="0" applyNumberFormat="1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6716-2EEB-4658-B16A-98EE39ED985B}">
  <dimension ref="A1:H104"/>
  <sheetViews>
    <sheetView tabSelected="1" view="pageBreakPreview" zoomScaleNormal="100" workbookViewId="0">
      <pane ySplit="1" topLeftCell="A77" activePane="bottomLeft" state="frozen"/>
      <selection pane="bottomLeft" activeCell="A3" sqref="A3:A103"/>
    </sheetView>
  </sheetViews>
  <sheetFormatPr defaultColWidth="9.140625" defaultRowHeight="15"/>
  <cols>
    <col min="1" max="1" width="16.140625" style="23" customWidth="1"/>
    <col min="2" max="2" width="62.85546875" style="24" customWidth="1"/>
    <col min="3" max="3" width="28.5703125" style="25" customWidth="1"/>
    <col min="4" max="4" width="25.5703125" style="25" customWidth="1"/>
    <col min="5" max="5" width="17.42578125" style="26" customWidth="1"/>
    <col min="6" max="6" width="4" style="24" customWidth="1"/>
    <col min="7" max="7" width="13.140625" style="24" customWidth="1"/>
    <col min="8" max="8" width="35.5703125" style="24" customWidth="1"/>
    <col min="9" max="16384" width="9.140625" style="24"/>
  </cols>
  <sheetData>
    <row r="1" spans="1:7" s="17" customFormat="1" ht="18" customHeight="1">
      <c r="A1" s="79" t="s">
        <v>185</v>
      </c>
      <c r="B1" s="80" t="s">
        <v>186</v>
      </c>
      <c r="C1" s="81" t="s">
        <v>187</v>
      </c>
      <c r="D1" s="81" t="s">
        <v>189</v>
      </c>
      <c r="E1" s="96" t="s">
        <v>188</v>
      </c>
    </row>
    <row r="2" spans="1:7" s="18" customFormat="1" ht="18" customHeight="1">
      <c r="A2" s="97"/>
      <c r="B2" s="97" t="s">
        <v>7</v>
      </c>
      <c r="C2" s="35">
        <v>-334000</v>
      </c>
      <c r="D2" s="36"/>
      <c r="E2" s="37">
        <f>C2-F2</f>
        <v>-334000</v>
      </c>
    </row>
    <row r="3" spans="1:7" s="19" customFormat="1" ht="30">
      <c r="A3" s="98">
        <v>46023</v>
      </c>
      <c r="B3" s="38" t="s">
        <v>8</v>
      </c>
      <c r="C3" s="74"/>
      <c r="D3" s="75">
        <v>100000</v>
      </c>
      <c r="E3" s="76">
        <f t="shared" ref="E3:E33" si="0">E2+C3-D3</f>
        <v>-434000</v>
      </c>
      <c r="G3" s="41"/>
    </row>
    <row r="4" spans="1:7" s="20" customFormat="1" ht="18" customHeight="1">
      <c r="A4" s="99"/>
      <c r="B4" s="8" t="s">
        <v>9</v>
      </c>
      <c r="C4" s="74"/>
      <c r="D4" s="74">
        <v>90000</v>
      </c>
      <c r="E4" s="40">
        <f t="shared" si="0"/>
        <v>-524000</v>
      </c>
      <c r="G4" s="42"/>
    </row>
    <row r="5" spans="1:7" s="20" customFormat="1" ht="18" customHeight="1">
      <c r="A5" s="100"/>
      <c r="B5" s="8" t="s">
        <v>10</v>
      </c>
      <c r="C5" s="74"/>
      <c r="D5" s="74">
        <v>40000</v>
      </c>
      <c r="E5" s="40">
        <f t="shared" si="0"/>
        <v>-564000</v>
      </c>
      <c r="G5" s="42"/>
    </row>
    <row r="6" spans="1:7" s="20" customFormat="1" ht="18" customHeight="1">
      <c r="A6" s="101">
        <v>46026</v>
      </c>
      <c r="B6" s="8" t="s">
        <v>11</v>
      </c>
      <c r="C6" s="74"/>
      <c r="D6" s="74">
        <v>51000</v>
      </c>
      <c r="E6" s="40">
        <f t="shared" si="0"/>
        <v>-615000</v>
      </c>
      <c r="G6" s="42"/>
    </row>
    <row r="7" spans="1:7" s="20" customFormat="1" ht="18" customHeight="1">
      <c r="A7" s="98">
        <v>46031</v>
      </c>
      <c r="B7" s="8" t="s">
        <v>12</v>
      </c>
      <c r="C7" s="74"/>
      <c r="D7" s="74">
        <v>5000</v>
      </c>
      <c r="E7" s="40">
        <f t="shared" si="0"/>
        <v>-620000</v>
      </c>
      <c r="G7" s="42"/>
    </row>
    <row r="8" spans="1:7" s="20" customFormat="1" ht="18" customHeight="1">
      <c r="A8" s="100"/>
      <c r="B8" s="8" t="s">
        <v>13</v>
      </c>
      <c r="C8" s="74">
        <v>110000</v>
      </c>
      <c r="D8" s="74"/>
      <c r="E8" s="40">
        <f t="shared" si="0"/>
        <v>-510000</v>
      </c>
      <c r="G8" s="42"/>
    </row>
    <row r="9" spans="1:7" s="20" customFormat="1" ht="18" customHeight="1">
      <c r="A9" s="98">
        <v>46033</v>
      </c>
      <c r="B9" s="8" t="s">
        <v>14</v>
      </c>
      <c r="C9" s="74">
        <v>600000</v>
      </c>
      <c r="D9" s="74"/>
      <c r="E9" s="40">
        <f t="shared" si="0"/>
        <v>90000</v>
      </c>
      <c r="G9" s="42"/>
    </row>
    <row r="10" spans="1:7" s="20" customFormat="1" ht="18" customHeight="1">
      <c r="A10" s="100"/>
      <c r="B10" s="8" t="s">
        <v>15</v>
      </c>
      <c r="C10" s="74"/>
      <c r="D10" s="74">
        <v>35000</v>
      </c>
      <c r="E10" s="40">
        <f t="shared" si="0"/>
        <v>55000</v>
      </c>
      <c r="G10" s="42"/>
    </row>
    <row r="11" spans="1:7" s="20" customFormat="1" ht="18" customHeight="1">
      <c r="A11" s="101">
        <v>46036</v>
      </c>
      <c r="B11" s="8" t="s">
        <v>16</v>
      </c>
      <c r="C11" s="74"/>
      <c r="D11" s="74">
        <v>250000</v>
      </c>
      <c r="E11" s="40">
        <f t="shared" si="0"/>
        <v>-195000</v>
      </c>
      <c r="G11" s="42"/>
    </row>
    <row r="12" spans="1:7" s="20" customFormat="1" ht="18" customHeight="1">
      <c r="A12" s="98">
        <v>46039</v>
      </c>
      <c r="B12" s="8" t="s">
        <v>17</v>
      </c>
      <c r="C12" s="74">
        <v>250000</v>
      </c>
      <c r="D12" s="74"/>
      <c r="E12" s="40">
        <f t="shared" si="0"/>
        <v>55000</v>
      </c>
      <c r="G12" s="42"/>
    </row>
    <row r="13" spans="1:7" s="20" customFormat="1" ht="18" customHeight="1">
      <c r="A13" s="100"/>
      <c r="B13" s="8" t="s">
        <v>18</v>
      </c>
      <c r="C13" s="74">
        <v>200000</v>
      </c>
      <c r="D13" s="74"/>
      <c r="E13" s="40">
        <f t="shared" si="0"/>
        <v>255000</v>
      </c>
      <c r="G13" s="42"/>
    </row>
    <row r="14" spans="1:7" s="20" customFormat="1" ht="18" customHeight="1">
      <c r="A14" s="98">
        <v>46041</v>
      </c>
      <c r="B14" s="8" t="s">
        <v>19</v>
      </c>
      <c r="C14" s="74"/>
      <c r="D14" s="74">
        <v>45000</v>
      </c>
      <c r="E14" s="40">
        <f t="shared" si="0"/>
        <v>210000</v>
      </c>
      <c r="G14" s="42"/>
    </row>
    <row r="15" spans="1:7" s="20" customFormat="1" ht="18" customHeight="1">
      <c r="A15" s="100"/>
      <c r="B15" s="8" t="s">
        <v>11</v>
      </c>
      <c r="C15" s="74"/>
      <c r="D15" s="74">
        <v>46500</v>
      </c>
      <c r="E15" s="40">
        <f t="shared" si="0"/>
        <v>163500</v>
      </c>
      <c r="G15" s="42"/>
    </row>
    <row r="16" spans="1:7" s="20" customFormat="1" ht="18" customHeight="1">
      <c r="A16" s="101">
        <v>46043</v>
      </c>
      <c r="B16" s="8" t="s">
        <v>20</v>
      </c>
      <c r="C16" s="74"/>
      <c r="D16" s="74">
        <v>150000</v>
      </c>
      <c r="E16" s="40">
        <f t="shared" si="0"/>
        <v>13500</v>
      </c>
      <c r="G16" s="42"/>
    </row>
    <row r="17" spans="1:8" s="20" customFormat="1" ht="18" customHeight="1">
      <c r="A17" s="101">
        <v>46046</v>
      </c>
      <c r="B17" s="8" t="s">
        <v>21</v>
      </c>
      <c r="C17" s="74"/>
      <c r="D17" s="74">
        <v>341000</v>
      </c>
      <c r="E17" s="40">
        <f t="shared" si="0"/>
        <v>-327500</v>
      </c>
      <c r="G17" s="44">
        <v>126000</v>
      </c>
      <c r="H17" s="45" t="s">
        <v>22</v>
      </c>
    </row>
    <row r="18" spans="1:8" s="20" customFormat="1" ht="18" customHeight="1">
      <c r="A18" s="101">
        <v>46047</v>
      </c>
      <c r="B18" s="8" t="s">
        <v>13</v>
      </c>
      <c r="C18" s="74">
        <v>926000</v>
      </c>
      <c r="D18" s="74"/>
      <c r="E18" s="40">
        <f t="shared" si="0"/>
        <v>598500</v>
      </c>
      <c r="G18" s="44">
        <v>932000</v>
      </c>
      <c r="H18" s="45" t="s">
        <v>22</v>
      </c>
    </row>
    <row r="19" spans="1:8" s="20" customFormat="1" ht="18" customHeight="1">
      <c r="A19" s="98">
        <v>46052</v>
      </c>
      <c r="B19" s="8" t="s">
        <v>23</v>
      </c>
      <c r="C19" s="74">
        <v>700000</v>
      </c>
      <c r="D19" s="74"/>
      <c r="E19" s="40">
        <f t="shared" si="0"/>
        <v>1298500</v>
      </c>
      <c r="G19" s="44">
        <v>257000</v>
      </c>
      <c r="H19" s="45" t="s">
        <v>22</v>
      </c>
    </row>
    <row r="20" spans="1:8" s="20" customFormat="1" ht="18" customHeight="1">
      <c r="A20" s="99"/>
      <c r="B20" s="8" t="s">
        <v>24</v>
      </c>
      <c r="C20" s="74">
        <v>760000</v>
      </c>
      <c r="D20" s="74"/>
      <c r="E20" s="40">
        <f t="shared" si="0"/>
        <v>2058500</v>
      </c>
      <c r="G20" s="44">
        <v>1400000</v>
      </c>
      <c r="H20" s="45" t="s">
        <v>25</v>
      </c>
    </row>
    <row r="21" spans="1:8" s="20" customFormat="1" ht="18" customHeight="1">
      <c r="A21" s="100"/>
      <c r="B21" s="8" t="s">
        <v>11</v>
      </c>
      <c r="C21" s="74"/>
      <c r="D21" s="74">
        <v>46500</v>
      </c>
      <c r="E21" s="40">
        <f t="shared" si="0"/>
        <v>2012000</v>
      </c>
      <c r="G21" s="44">
        <v>250000</v>
      </c>
      <c r="H21" s="45" t="s">
        <v>26</v>
      </c>
    </row>
    <row r="22" spans="1:8">
      <c r="A22" s="102">
        <v>46057</v>
      </c>
      <c r="B22" s="38" t="s">
        <v>13</v>
      </c>
      <c r="C22" s="9">
        <v>110000</v>
      </c>
      <c r="D22" s="39"/>
      <c r="E22" s="40">
        <f t="shared" si="0"/>
        <v>2122000</v>
      </c>
    </row>
    <row r="23" spans="1:8">
      <c r="A23" s="102">
        <v>46060</v>
      </c>
      <c r="B23" s="38" t="s">
        <v>13</v>
      </c>
      <c r="C23" s="9">
        <v>354000</v>
      </c>
      <c r="D23" s="9"/>
      <c r="E23" s="40">
        <f t="shared" si="0"/>
        <v>2476000</v>
      </c>
    </row>
    <row r="24" spans="1:8">
      <c r="A24" s="98">
        <v>46064</v>
      </c>
      <c r="B24" s="8" t="s">
        <v>39</v>
      </c>
      <c r="C24" s="9"/>
      <c r="D24" s="9">
        <v>250000</v>
      </c>
      <c r="E24" s="40">
        <f t="shared" si="0"/>
        <v>2226000</v>
      </c>
    </row>
    <row r="25" spans="1:8">
      <c r="A25" s="100"/>
      <c r="B25" s="8" t="s">
        <v>40</v>
      </c>
      <c r="C25" s="9">
        <v>130000</v>
      </c>
      <c r="D25" s="9"/>
      <c r="E25" s="40">
        <f t="shared" si="0"/>
        <v>2356000</v>
      </c>
    </row>
    <row r="26" spans="1:8">
      <c r="A26" s="102">
        <v>46066</v>
      </c>
      <c r="B26" s="8" t="s">
        <v>41</v>
      </c>
      <c r="C26" s="9"/>
      <c r="D26" s="9">
        <v>26000</v>
      </c>
      <c r="E26" s="40">
        <f t="shared" si="0"/>
        <v>2330000</v>
      </c>
    </row>
    <row r="27" spans="1:8">
      <c r="A27" s="102">
        <v>46071</v>
      </c>
      <c r="B27" s="8" t="s">
        <v>42</v>
      </c>
      <c r="C27" s="9"/>
      <c r="D27" s="9">
        <v>775000</v>
      </c>
      <c r="E27" s="40">
        <f t="shared" si="0"/>
        <v>1555000</v>
      </c>
    </row>
    <row r="28" spans="1:8">
      <c r="A28" s="98">
        <v>46072</v>
      </c>
      <c r="B28" s="8" t="s">
        <v>43</v>
      </c>
      <c r="C28" s="9">
        <v>250000</v>
      </c>
      <c r="D28" s="9"/>
      <c r="E28" s="40">
        <f t="shared" si="0"/>
        <v>1805000</v>
      </c>
    </row>
    <row r="29" spans="1:8">
      <c r="A29" s="100"/>
      <c r="B29" s="8" t="s">
        <v>11</v>
      </c>
      <c r="C29" s="9"/>
      <c r="D29" s="9">
        <v>53000</v>
      </c>
      <c r="E29" s="40">
        <f t="shared" si="0"/>
        <v>1752000</v>
      </c>
    </row>
    <row r="30" spans="1:8">
      <c r="A30" s="101">
        <v>46074</v>
      </c>
      <c r="B30" s="8" t="s">
        <v>13</v>
      </c>
      <c r="C30" s="9">
        <v>1183000</v>
      </c>
      <c r="D30" s="9"/>
      <c r="E30" s="40">
        <f t="shared" si="0"/>
        <v>2935000</v>
      </c>
    </row>
    <row r="31" spans="1:8">
      <c r="A31" s="101">
        <v>46080</v>
      </c>
      <c r="B31" s="8" t="s">
        <v>44</v>
      </c>
      <c r="C31" s="9"/>
      <c r="D31" s="9">
        <v>37000</v>
      </c>
      <c r="E31" s="40">
        <f t="shared" si="0"/>
        <v>2898000</v>
      </c>
    </row>
    <row r="32" spans="1:8">
      <c r="A32" s="98">
        <v>46081</v>
      </c>
      <c r="B32" s="8" t="s">
        <v>45</v>
      </c>
      <c r="C32" s="9">
        <v>700000</v>
      </c>
      <c r="D32" s="9"/>
      <c r="E32" s="40">
        <f t="shared" si="0"/>
        <v>3598000</v>
      </c>
    </row>
    <row r="33" spans="1:5">
      <c r="A33" s="100"/>
      <c r="B33" s="8" t="s">
        <v>46</v>
      </c>
      <c r="C33" s="9">
        <v>400000</v>
      </c>
      <c r="D33" s="9"/>
      <c r="E33" s="40">
        <f t="shared" si="0"/>
        <v>3998000</v>
      </c>
    </row>
    <row r="34" spans="1:5">
      <c r="A34" s="102">
        <v>46082</v>
      </c>
      <c r="B34" s="38" t="s">
        <v>96</v>
      </c>
      <c r="C34" s="9"/>
      <c r="D34" s="39">
        <v>52000</v>
      </c>
      <c r="E34" s="40">
        <f>E33+C34-D34</f>
        <v>3946000</v>
      </c>
    </row>
    <row r="35" spans="1:5">
      <c r="A35" s="102">
        <v>46083</v>
      </c>
      <c r="B35" s="38" t="s">
        <v>13</v>
      </c>
      <c r="C35" s="9">
        <v>110000</v>
      </c>
      <c r="D35" s="9"/>
      <c r="E35" s="40">
        <f t="shared" ref="E35:E53" si="1">E34+C35-D35</f>
        <v>4056000</v>
      </c>
    </row>
    <row r="36" spans="1:5">
      <c r="A36" s="98">
        <v>46084</v>
      </c>
      <c r="B36" s="38" t="s">
        <v>13</v>
      </c>
      <c r="C36" s="9">
        <v>97000</v>
      </c>
      <c r="D36" s="9"/>
      <c r="E36" s="40">
        <f t="shared" si="1"/>
        <v>4153000</v>
      </c>
    </row>
    <row r="37" spans="1:5">
      <c r="A37" s="100"/>
      <c r="B37" s="8" t="s">
        <v>97</v>
      </c>
      <c r="C37" s="9"/>
      <c r="D37" s="9">
        <v>50000</v>
      </c>
      <c r="E37" s="40">
        <f t="shared" si="1"/>
        <v>4103000</v>
      </c>
    </row>
    <row r="38" spans="1:5">
      <c r="A38" s="102">
        <v>46085</v>
      </c>
      <c r="B38" s="8" t="s">
        <v>98</v>
      </c>
      <c r="C38" s="9"/>
      <c r="D38" s="9">
        <v>25000</v>
      </c>
      <c r="E38" s="40">
        <f t="shared" si="1"/>
        <v>4078000</v>
      </c>
    </row>
    <row r="39" spans="1:5">
      <c r="A39" s="102">
        <v>46086</v>
      </c>
      <c r="B39" s="8" t="s">
        <v>11</v>
      </c>
      <c r="C39" s="9"/>
      <c r="D39" s="9">
        <v>53000</v>
      </c>
      <c r="E39" s="40">
        <f t="shared" si="1"/>
        <v>4025000</v>
      </c>
    </row>
    <row r="40" spans="1:5">
      <c r="A40" s="102">
        <v>46092</v>
      </c>
      <c r="B40" s="8" t="s">
        <v>99</v>
      </c>
      <c r="C40" s="9"/>
      <c r="D40" s="9">
        <v>250000</v>
      </c>
      <c r="E40" s="40">
        <f t="shared" si="1"/>
        <v>3775000</v>
      </c>
    </row>
    <row r="41" spans="1:5">
      <c r="A41" s="102">
        <v>46095</v>
      </c>
      <c r="B41" s="8" t="s">
        <v>100</v>
      </c>
      <c r="C41" s="9">
        <v>250000</v>
      </c>
      <c r="D41" s="9"/>
      <c r="E41" s="40">
        <f t="shared" si="1"/>
        <v>4025000</v>
      </c>
    </row>
    <row r="42" spans="1:5">
      <c r="A42" s="98">
        <v>46096</v>
      </c>
      <c r="B42" s="8" t="s">
        <v>101</v>
      </c>
      <c r="C42" s="9"/>
      <c r="D42" s="9">
        <v>45000</v>
      </c>
      <c r="E42" s="40">
        <f t="shared" si="1"/>
        <v>3980000</v>
      </c>
    </row>
    <row r="43" spans="1:5">
      <c r="A43" s="100"/>
      <c r="B43" s="8" t="s">
        <v>13</v>
      </c>
      <c r="C43" s="9">
        <v>701000</v>
      </c>
      <c r="D43" s="9"/>
      <c r="E43" s="40">
        <f t="shared" si="1"/>
        <v>4681000</v>
      </c>
    </row>
    <row r="44" spans="1:5">
      <c r="A44" s="102">
        <v>46101</v>
      </c>
      <c r="B44" s="8" t="s">
        <v>102</v>
      </c>
      <c r="C44" s="9"/>
      <c r="D44" s="9">
        <v>50000</v>
      </c>
      <c r="E44" s="40">
        <f t="shared" si="1"/>
        <v>4631000</v>
      </c>
    </row>
    <row r="45" spans="1:5">
      <c r="A45" s="102"/>
      <c r="B45" s="8" t="s">
        <v>103</v>
      </c>
      <c r="C45" s="9">
        <v>1689000</v>
      </c>
      <c r="D45" s="9"/>
      <c r="E45" s="40">
        <f t="shared" si="1"/>
        <v>6320000</v>
      </c>
    </row>
    <row r="46" spans="1:5">
      <c r="A46" s="99">
        <v>46107</v>
      </c>
      <c r="B46" s="8" t="s">
        <v>104</v>
      </c>
      <c r="C46" s="9"/>
      <c r="D46" s="9">
        <v>20000</v>
      </c>
      <c r="E46" s="40">
        <f t="shared" si="1"/>
        <v>6300000</v>
      </c>
    </row>
    <row r="47" spans="1:5">
      <c r="A47" s="99"/>
      <c r="B47" s="8" t="s">
        <v>105</v>
      </c>
      <c r="C47" s="9"/>
      <c r="D47" s="9">
        <v>40000</v>
      </c>
      <c r="E47" s="40">
        <f t="shared" si="1"/>
        <v>6260000</v>
      </c>
    </row>
    <row r="48" spans="1:5">
      <c r="A48" s="100"/>
      <c r="B48" s="8" t="s">
        <v>106</v>
      </c>
      <c r="C48" s="9"/>
      <c r="D48" s="9">
        <v>2000000</v>
      </c>
      <c r="E48" s="40">
        <f t="shared" si="1"/>
        <v>4260000</v>
      </c>
    </row>
    <row r="49" spans="1:5">
      <c r="A49" s="99">
        <v>46109</v>
      </c>
      <c r="B49" s="8" t="s">
        <v>108</v>
      </c>
      <c r="C49" s="9"/>
      <c r="D49" s="9">
        <v>24000</v>
      </c>
      <c r="E49" s="40">
        <f t="shared" si="1"/>
        <v>4236000</v>
      </c>
    </row>
    <row r="50" spans="1:5">
      <c r="A50" s="100"/>
      <c r="B50" s="8" t="s">
        <v>104</v>
      </c>
      <c r="C50" s="9"/>
      <c r="D50" s="9">
        <v>36000</v>
      </c>
      <c r="E50" s="40">
        <f t="shared" si="1"/>
        <v>4200000</v>
      </c>
    </row>
    <row r="51" spans="1:5">
      <c r="A51" s="102">
        <v>46110</v>
      </c>
      <c r="B51" s="8" t="s">
        <v>11</v>
      </c>
      <c r="C51" s="9"/>
      <c r="D51" s="9">
        <v>44500</v>
      </c>
      <c r="E51" s="40">
        <f t="shared" si="1"/>
        <v>4155500</v>
      </c>
    </row>
    <row r="52" spans="1:5">
      <c r="A52" s="98">
        <v>46112</v>
      </c>
      <c r="B52" s="8" t="s">
        <v>109</v>
      </c>
      <c r="C52" s="9">
        <v>700000</v>
      </c>
      <c r="D52" s="9"/>
      <c r="E52" s="40">
        <f t="shared" si="1"/>
        <v>4855500</v>
      </c>
    </row>
    <row r="53" spans="1:5">
      <c r="A53" s="100"/>
      <c r="B53" s="8" t="s">
        <v>110</v>
      </c>
      <c r="C53" s="9">
        <v>300000</v>
      </c>
      <c r="D53" s="9"/>
      <c r="E53" s="40">
        <f t="shared" si="1"/>
        <v>5155500</v>
      </c>
    </row>
    <row r="54" spans="1:5">
      <c r="A54" s="102">
        <v>46114</v>
      </c>
      <c r="B54" s="38" t="s">
        <v>13</v>
      </c>
      <c r="C54" s="9">
        <v>110000</v>
      </c>
      <c r="D54" s="39"/>
      <c r="E54" s="40">
        <f>E53+C54-D54</f>
        <v>5265500</v>
      </c>
    </row>
    <row r="55" spans="1:5">
      <c r="A55" s="102">
        <v>46118</v>
      </c>
      <c r="B55" s="38" t="s">
        <v>117</v>
      </c>
      <c r="C55" s="9"/>
      <c r="D55" s="9">
        <v>250000</v>
      </c>
      <c r="E55" s="40">
        <f t="shared" ref="E55:E104" si="2">E54+C55-D55</f>
        <v>5015500</v>
      </c>
    </row>
    <row r="56" spans="1:5">
      <c r="A56" s="102">
        <v>46122</v>
      </c>
      <c r="B56" s="38" t="s">
        <v>11</v>
      </c>
      <c r="C56" s="9"/>
      <c r="D56" s="9">
        <v>46500</v>
      </c>
      <c r="E56" s="40">
        <f t="shared" si="2"/>
        <v>4969000</v>
      </c>
    </row>
    <row r="57" spans="1:5">
      <c r="A57" s="102">
        <v>46130</v>
      </c>
      <c r="B57" s="8" t="s">
        <v>13</v>
      </c>
      <c r="C57" s="9">
        <v>1080000</v>
      </c>
      <c r="D57" s="9"/>
      <c r="E57" s="40">
        <f t="shared" si="2"/>
        <v>6049000</v>
      </c>
    </row>
    <row r="58" spans="1:5">
      <c r="A58" s="102">
        <v>46131</v>
      </c>
      <c r="B58" s="8" t="s">
        <v>11</v>
      </c>
      <c r="C58" s="9"/>
      <c r="D58" s="9">
        <v>55500</v>
      </c>
      <c r="E58" s="40">
        <f t="shared" si="2"/>
        <v>5993500</v>
      </c>
    </row>
    <row r="59" spans="1:5">
      <c r="A59" s="98">
        <v>46132</v>
      </c>
      <c r="B59" s="8" t="s">
        <v>118</v>
      </c>
      <c r="C59" s="9">
        <v>250000</v>
      </c>
      <c r="D59" s="9"/>
      <c r="E59" s="40">
        <f t="shared" si="2"/>
        <v>6243500</v>
      </c>
    </row>
    <row r="60" spans="1:5">
      <c r="A60" s="100"/>
      <c r="B60" s="8" t="s">
        <v>98</v>
      </c>
      <c r="C60" s="9"/>
      <c r="D60" s="9">
        <v>60000</v>
      </c>
      <c r="E60" s="40">
        <f t="shared" si="2"/>
        <v>6183500</v>
      </c>
    </row>
    <row r="61" spans="1:5">
      <c r="A61" s="102">
        <v>46134</v>
      </c>
      <c r="B61" s="8" t="s">
        <v>119</v>
      </c>
      <c r="C61" s="9"/>
      <c r="D61" s="9">
        <v>200000</v>
      </c>
      <c r="E61" s="40">
        <f t="shared" si="2"/>
        <v>5983500</v>
      </c>
    </row>
    <row r="62" spans="1:5">
      <c r="A62" s="102">
        <v>46136</v>
      </c>
      <c r="B62" s="8" t="s">
        <v>13</v>
      </c>
      <c r="C62" s="9">
        <v>189000</v>
      </c>
      <c r="D62" s="9"/>
      <c r="E62" s="40">
        <f t="shared" si="2"/>
        <v>6172500</v>
      </c>
    </row>
    <row r="63" spans="1:5">
      <c r="A63" s="102">
        <v>46140</v>
      </c>
      <c r="B63" s="8" t="s">
        <v>120</v>
      </c>
      <c r="C63" s="9"/>
      <c r="D63" s="9">
        <v>140000</v>
      </c>
      <c r="E63" s="40">
        <f t="shared" si="2"/>
        <v>6032500</v>
      </c>
    </row>
    <row r="64" spans="1:5">
      <c r="A64" s="102">
        <v>46144</v>
      </c>
      <c r="B64" s="38" t="s">
        <v>13</v>
      </c>
      <c r="C64" s="9">
        <v>110000</v>
      </c>
      <c r="D64" s="39"/>
      <c r="E64" s="40">
        <f t="shared" si="2"/>
        <v>6142500</v>
      </c>
    </row>
    <row r="65" spans="1:5">
      <c r="A65" s="98">
        <v>46145</v>
      </c>
      <c r="B65" s="8" t="s">
        <v>127</v>
      </c>
      <c r="C65" s="9">
        <v>700000</v>
      </c>
      <c r="D65" s="9"/>
      <c r="E65" s="40">
        <f t="shared" si="2"/>
        <v>6842500</v>
      </c>
    </row>
    <row r="66" spans="1:5">
      <c r="A66" s="100"/>
      <c r="B66" s="8" t="s">
        <v>128</v>
      </c>
      <c r="C66" s="9">
        <v>480000</v>
      </c>
      <c r="D66" s="9"/>
      <c r="E66" s="40">
        <f t="shared" si="2"/>
        <v>7322500</v>
      </c>
    </row>
    <row r="67" spans="1:5">
      <c r="A67" s="102">
        <v>46147</v>
      </c>
      <c r="B67" s="8" t="s">
        <v>129</v>
      </c>
      <c r="C67" s="9"/>
      <c r="D67" s="9">
        <v>57000</v>
      </c>
      <c r="E67" s="40">
        <f t="shared" si="2"/>
        <v>7265500</v>
      </c>
    </row>
    <row r="68" spans="1:5">
      <c r="A68" s="98">
        <v>46148</v>
      </c>
      <c r="B68" s="8" t="s">
        <v>130</v>
      </c>
      <c r="C68" s="9"/>
      <c r="D68" s="9">
        <v>916000</v>
      </c>
      <c r="E68" s="40">
        <f t="shared" si="2"/>
        <v>6349500</v>
      </c>
    </row>
    <row r="69" spans="1:5">
      <c r="A69" s="100"/>
      <c r="B69" s="8" t="s">
        <v>11</v>
      </c>
      <c r="C69" s="9"/>
      <c r="D69" s="9">
        <v>42500</v>
      </c>
      <c r="E69" s="40">
        <f t="shared" si="2"/>
        <v>6307000</v>
      </c>
    </row>
    <row r="70" spans="1:5">
      <c r="A70" s="98">
        <v>46151</v>
      </c>
      <c r="B70" s="8" t="s">
        <v>131</v>
      </c>
      <c r="C70" s="9"/>
      <c r="D70" s="9">
        <v>100000</v>
      </c>
      <c r="E70" s="40">
        <f t="shared" si="2"/>
        <v>6207000</v>
      </c>
    </row>
    <row r="71" spans="1:5">
      <c r="A71" s="100"/>
      <c r="B71" s="8" t="s">
        <v>132</v>
      </c>
      <c r="C71" s="9"/>
      <c r="D71" s="9">
        <v>20000</v>
      </c>
      <c r="E71" s="40">
        <f t="shared" si="2"/>
        <v>6187000</v>
      </c>
    </row>
    <row r="72" spans="1:5">
      <c r="A72" s="102">
        <v>46154</v>
      </c>
      <c r="B72" s="8" t="s">
        <v>129</v>
      </c>
      <c r="C72" s="9"/>
      <c r="D72" s="9">
        <v>34000</v>
      </c>
      <c r="E72" s="40">
        <f t="shared" si="2"/>
        <v>6153000</v>
      </c>
    </row>
    <row r="73" spans="1:5">
      <c r="A73" s="98">
        <v>46155</v>
      </c>
      <c r="B73" s="8" t="s">
        <v>133</v>
      </c>
      <c r="C73" s="9"/>
      <c r="D73" s="9">
        <v>250000</v>
      </c>
      <c r="E73" s="40">
        <f t="shared" si="2"/>
        <v>5903000</v>
      </c>
    </row>
    <row r="74" spans="1:5">
      <c r="A74" s="100"/>
      <c r="B74" s="8" t="s">
        <v>134</v>
      </c>
      <c r="C74" s="9"/>
      <c r="D74" s="9">
        <v>1000000</v>
      </c>
      <c r="E74" s="40">
        <f t="shared" si="2"/>
        <v>4903000</v>
      </c>
    </row>
    <row r="75" spans="1:5">
      <c r="A75" s="98">
        <v>46158</v>
      </c>
      <c r="B75" s="8" t="s">
        <v>13</v>
      </c>
      <c r="C75" s="9">
        <v>1045000</v>
      </c>
      <c r="D75" s="9"/>
      <c r="E75" s="40">
        <f t="shared" si="2"/>
        <v>5948000</v>
      </c>
    </row>
    <row r="76" spans="1:5">
      <c r="A76" s="100"/>
      <c r="B76" s="8" t="s">
        <v>135</v>
      </c>
      <c r="C76" s="9">
        <v>250000</v>
      </c>
      <c r="D76" s="9"/>
      <c r="E76" s="40">
        <f t="shared" si="2"/>
        <v>6198000</v>
      </c>
    </row>
    <row r="77" spans="1:5">
      <c r="A77" s="102">
        <v>46160</v>
      </c>
      <c r="B77" s="8" t="s">
        <v>13</v>
      </c>
      <c r="C77" s="9">
        <v>100000</v>
      </c>
      <c r="D77" s="9"/>
      <c r="E77" s="40">
        <f t="shared" si="2"/>
        <v>6298000</v>
      </c>
    </row>
    <row r="78" spans="1:5">
      <c r="A78" s="102">
        <v>46162</v>
      </c>
      <c r="B78" s="8" t="s">
        <v>129</v>
      </c>
      <c r="C78" s="9"/>
      <c r="D78" s="9">
        <v>25000</v>
      </c>
      <c r="E78" s="40">
        <f t="shared" si="2"/>
        <v>6273000</v>
      </c>
    </row>
    <row r="79" spans="1:5">
      <c r="A79" s="98">
        <v>46165</v>
      </c>
      <c r="B79" s="8" t="s">
        <v>11</v>
      </c>
      <c r="C79" s="9"/>
      <c r="D79" s="9">
        <v>51000</v>
      </c>
      <c r="E79" s="40">
        <f t="shared" si="2"/>
        <v>6222000</v>
      </c>
    </row>
    <row r="80" spans="1:5">
      <c r="A80" s="100"/>
      <c r="B80" s="8" t="s">
        <v>13</v>
      </c>
      <c r="C80" s="9">
        <v>115000</v>
      </c>
      <c r="D80" s="9"/>
      <c r="E80" s="40">
        <f t="shared" si="2"/>
        <v>6337000</v>
      </c>
    </row>
    <row r="81" spans="1:5">
      <c r="A81" s="102">
        <v>46175</v>
      </c>
      <c r="B81" s="8" t="s">
        <v>145</v>
      </c>
      <c r="C81" s="9">
        <v>700000</v>
      </c>
      <c r="D81" s="39"/>
      <c r="E81" s="40">
        <f t="shared" si="2"/>
        <v>7037000</v>
      </c>
    </row>
    <row r="82" spans="1:5">
      <c r="A82" s="99"/>
      <c r="B82" s="8" t="s">
        <v>146</v>
      </c>
      <c r="C82" s="9">
        <v>460000</v>
      </c>
      <c r="D82" s="9"/>
      <c r="E82" s="40">
        <f t="shared" si="2"/>
        <v>7497000</v>
      </c>
    </row>
    <row r="83" spans="1:5">
      <c r="A83" s="100"/>
      <c r="B83" s="8" t="s">
        <v>13</v>
      </c>
      <c r="C83" s="9">
        <v>150000</v>
      </c>
      <c r="D83" s="9"/>
      <c r="E83" s="40">
        <f t="shared" si="2"/>
        <v>7647000</v>
      </c>
    </row>
    <row r="84" spans="1:5">
      <c r="A84" s="103">
        <v>46176</v>
      </c>
      <c r="B84" s="8" t="s">
        <v>11</v>
      </c>
      <c r="C84" s="9"/>
      <c r="D84" s="9">
        <v>42500</v>
      </c>
      <c r="E84" s="40">
        <f t="shared" si="2"/>
        <v>7604500</v>
      </c>
    </row>
    <row r="85" spans="1:5">
      <c r="A85" s="103">
        <v>46177</v>
      </c>
      <c r="B85" s="8" t="s">
        <v>13</v>
      </c>
      <c r="C85" s="9">
        <v>110000</v>
      </c>
      <c r="D85" s="9"/>
      <c r="E85" s="40">
        <f t="shared" si="2"/>
        <v>7714500</v>
      </c>
    </row>
    <row r="86" spans="1:5">
      <c r="A86" s="103">
        <v>46178</v>
      </c>
      <c r="B86" s="8" t="s">
        <v>129</v>
      </c>
      <c r="C86" s="9"/>
      <c r="D86" s="9">
        <v>18000</v>
      </c>
      <c r="E86" s="40">
        <f t="shared" si="2"/>
        <v>7696500</v>
      </c>
    </row>
    <row r="87" spans="1:5">
      <c r="A87" s="102">
        <v>46180</v>
      </c>
      <c r="B87" s="8" t="s">
        <v>13</v>
      </c>
      <c r="C87" s="9">
        <v>204000</v>
      </c>
      <c r="D87" s="9"/>
      <c r="E87" s="40">
        <f t="shared" si="2"/>
        <v>7900500</v>
      </c>
    </row>
    <row r="88" spans="1:5">
      <c r="A88" s="104">
        <v>46182</v>
      </c>
      <c r="B88" s="8" t="s">
        <v>147</v>
      </c>
      <c r="C88" s="9"/>
      <c r="D88" s="9">
        <v>250000</v>
      </c>
      <c r="E88" s="40">
        <f t="shared" si="2"/>
        <v>7650500</v>
      </c>
    </row>
    <row r="89" spans="1:5">
      <c r="A89" s="104">
        <v>46183</v>
      </c>
      <c r="B89" s="8" t="s">
        <v>148</v>
      </c>
      <c r="C89" s="9">
        <v>200000</v>
      </c>
      <c r="D89" s="9"/>
      <c r="E89" s="40">
        <f t="shared" si="2"/>
        <v>7850500</v>
      </c>
    </row>
    <row r="90" spans="1:5">
      <c r="A90" s="101"/>
      <c r="B90" s="8" t="s">
        <v>149</v>
      </c>
      <c r="C90" s="9">
        <v>230000</v>
      </c>
      <c r="D90" s="9"/>
      <c r="E90" s="40">
        <f t="shared" si="2"/>
        <v>8080500</v>
      </c>
    </row>
    <row r="91" spans="1:5">
      <c r="A91" s="101"/>
      <c r="B91" s="8" t="s">
        <v>150</v>
      </c>
      <c r="C91" s="9">
        <v>250000</v>
      </c>
      <c r="D91" s="9"/>
      <c r="E91" s="40">
        <f t="shared" si="2"/>
        <v>8330500</v>
      </c>
    </row>
    <row r="92" spans="1:5">
      <c r="A92" s="101"/>
      <c r="B92" s="8" t="s">
        <v>151</v>
      </c>
      <c r="C92" s="9">
        <v>225000</v>
      </c>
      <c r="D92" s="9"/>
      <c r="E92" s="40">
        <f t="shared" si="2"/>
        <v>8555500</v>
      </c>
    </row>
    <row r="93" spans="1:5">
      <c r="A93" s="101"/>
      <c r="B93" s="8" t="s">
        <v>152</v>
      </c>
      <c r="C93" s="9">
        <v>350000</v>
      </c>
      <c r="D93" s="9"/>
      <c r="E93" s="40">
        <f t="shared" si="2"/>
        <v>8905500</v>
      </c>
    </row>
    <row r="94" spans="1:5">
      <c r="A94" s="101"/>
      <c r="B94" s="8" t="s">
        <v>153</v>
      </c>
      <c r="C94" s="9">
        <v>230000</v>
      </c>
      <c r="D94" s="9"/>
      <c r="E94" s="40">
        <f t="shared" si="2"/>
        <v>9135500</v>
      </c>
    </row>
    <row r="95" spans="1:5">
      <c r="A95" s="101"/>
      <c r="B95" s="8" t="s">
        <v>154</v>
      </c>
      <c r="C95" s="9">
        <v>370000</v>
      </c>
      <c r="D95" s="9"/>
      <c r="E95" s="40">
        <f t="shared" si="2"/>
        <v>9505500</v>
      </c>
    </row>
    <row r="96" spans="1:5">
      <c r="A96" s="102">
        <v>46186</v>
      </c>
      <c r="B96" s="12" t="s">
        <v>155</v>
      </c>
      <c r="C96" s="9"/>
      <c r="D96" s="9">
        <v>60000</v>
      </c>
      <c r="E96" s="40">
        <f t="shared" si="2"/>
        <v>9445500</v>
      </c>
    </row>
    <row r="97" spans="1:5">
      <c r="A97" s="102">
        <v>46187</v>
      </c>
      <c r="B97" s="12" t="s">
        <v>13</v>
      </c>
      <c r="C97" s="9">
        <v>250000</v>
      </c>
      <c r="D97" s="9"/>
      <c r="E97" s="40">
        <f t="shared" si="2"/>
        <v>9695500</v>
      </c>
    </row>
    <row r="98" spans="1:5">
      <c r="A98" s="102">
        <v>46191</v>
      </c>
      <c r="B98" s="12" t="s">
        <v>13</v>
      </c>
      <c r="C98" s="9">
        <v>100000</v>
      </c>
      <c r="D98" s="9"/>
      <c r="E98" s="40">
        <f t="shared" si="2"/>
        <v>9795500</v>
      </c>
    </row>
    <row r="99" spans="1:5">
      <c r="A99" s="102">
        <v>46193</v>
      </c>
      <c r="B99" s="12" t="s">
        <v>156</v>
      </c>
      <c r="C99" s="9"/>
      <c r="D99" s="9">
        <v>26000</v>
      </c>
      <c r="E99" s="40">
        <f t="shared" si="2"/>
        <v>9769500</v>
      </c>
    </row>
    <row r="100" spans="1:5">
      <c r="A100" s="102">
        <v>46196</v>
      </c>
      <c r="B100" s="12" t="s">
        <v>158</v>
      </c>
      <c r="C100" s="9"/>
      <c r="D100" s="9">
        <v>2300000</v>
      </c>
      <c r="E100" s="40">
        <f t="shared" si="2"/>
        <v>7469500</v>
      </c>
    </row>
    <row r="101" spans="1:5">
      <c r="A101" s="102">
        <v>46197</v>
      </c>
      <c r="B101" s="12" t="s">
        <v>159</v>
      </c>
      <c r="C101" s="9"/>
      <c r="D101" s="9">
        <v>25500</v>
      </c>
      <c r="E101" s="40">
        <f t="shared" si="2"/>
        <v>7444000</v>
      </c>
    </row>
    <row r="102" spans="1:5">
      <c r="A102" s="103">
        <v>46200</v>
      </c>
      <c r="B102" s="12" t="s">
        <v>13</v>
      </c>
      <c r="C102" s="9">
        <v>990000</v>
      </c>
      <c r="D102" s="9"/>
      <c r="E102" s="40">
        <f t="shared" si="2"/>
        <v>8434000</v>
      </c>
    </row>
    <row r="103" spans="1:5">
      <c r="A103" s="103">
        <v>46203</v>
      </c>
      <c r="B103" s="8" t="s">
        <v>160</v>
      </c>
      <c r="C103" s="9">
        <v>700000</v>
      </c>
      <c r="D103" s="9"/>
      <c r="E103" s="40">
        <f t="shared" si="2"/>
        <v>9134000</v>
      </c>
    </row>
    <row r="104" spans="1:5">
      <c r="A104" s="61"/>
      <c r="B104" s="8" t="s">
        <v>161</v>
      </c>
      <c r="C104" s="9">
        <v>500000</v>
      </c>
      <c r="D104" s="9"/>
      <c r="E104" s="40">
        <f t="shared" si="2"/>
        <v>9634000</v>
      </c>
    </row>
  </sheetData>
  <pageMargins left="1" right="0.5" top="0.75" bottom="0.75" header="0.30972222222222201" footer="0.30972222222222201"/>
  <pageSetup paperSize="9" scale="46" orientation="landscape" r:id="rId1"/>
  <rowBreaks count="1" manualBreakCount="1">
    <brk id="34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5"/>
  <sheetViews>
    <sheetView view="pageBreakPreview" zoomScaleNormal="100" workbookViewId="0">
      <pane ySplit="3" topLeftCell="A7" activePane="bottomLeft" state="frozen"/>
      <selection activeCell="A24" sqref="A24:XFD24"/>
      <selection pane="bottomLeft" activeCell="A24" sqref="A24:XFD24"/>
    </sheetView>
  </sheetViews>
  <sheetFormatPr defaultColWidth="9.140625" defaultRowHeight="15"/>
  <cols>
    <col min="1" max="1" width="16.140625" style="23" customWidth="1"/>
    <col min="2" max="2" width="62.85546875" style="24" customWidth="1"/>
    <col min="3" max="4" width="17.42578125" style="25" customWidth="1"/>
    <col min="5" max="5" width="17.42578125" style="26" customWidth="1"/>
    <col min="6" max="6" width="4" style="24" customWidth="1"/>
    <col min="7" max="7" width="13.140625" style="24" customWidth="1"/>
    <col min="8" max="8" width="35.5703125" style="24" customWidth="1"/>
    <col min="9" max="16384" width="9.140625" style="24"/>
  </cols>
  <sheetData>
    <row r="1" spans="1:7" ht="18" customHeight="1">
      <c r="A1" s="87" t="s">
        <v>0</v>
      </c>
      <c r="B1" s="87"/>
      <c r="C1" s="88"/>
      <c r="D1" s="88"/>
      <c r="E1" s="87"/>
    </row>
    <row r="2" spans="1:7" ht="18" customHeight="1">
      <c r="A2" s="27" t="s">
        <v>1</v>
      </c>
      <c r="B2" s="28"/>
      <c r="C2" s="29"/>
      <c r="D2" s="29"/>
      <c r="E2" s="30"/>
    </row>
    <row r="3" spans="1:7" s="17" customFormat="1" ht="18" customHeight="1">
      <c r="A3" s="31" t="s">
        <v>2</v>
      </c>
      <c r="B3" s="32" t="s">
        <v>3</v>
      </c>
      <c r="C3" s="33" t="s">
        <v>4</v>
      </c>
      <c r="D3" s="33" t="s">
        <v>5</v>
      </c>
      <c r="E3" s="34" t="s">
        <v>6</v>
      </c>
    </row>
    <row r="4" spans="1:7" s="18" customFormat="1" ht="18" customHeight="1">
      <c r="A4" s="85" t="s">
        <v>7</v>
      </c>
      <c r="B4" s="85"/>
      <c r="C4" s="35">
        <v>-334000</v>
      </c>
      <c r="D4" s="36"/>
      <c r="E4" s="37">
        <f>C4-F4</f>
        <v>-334000</v>
      </c>
    </row>
    <row r="5" spans="1:7" s="19" customFormat="1" ht="30">
      <c r="A5" s="82">
        <v>46023</v>
      </c>
      <c r="B5" s="38" t="s">
        <v>8</v>
      </c>
      <c r="C5" s="74"/>
      <c r="D5" s="75">
        <v>100000</v>
      </c>
      <c r="E5" s="76">
        <f t="shared" ref="E5:E23" si="0">E4+C5-D5</f>
        <v>-434000</v>
      </c>
      <c r="G5" s="41"/>
    </row>
    <row r="6" spans="1:7" s="20" customFormat="1" ht="18" customHeight="1">
      <c r="A6" s="84"/>
      <c r="B6" s="8" t="s">
        <v>9</v>
      </c>
      <c r="C6" s="74"/>
      <c r="D6" s="74">
        <v>90000</v>
      </c>
      <c r="E6" s="40">
        <f t="shared" si="0"/>
        <v>-524000</v>
      </c>
      <c r="G6" s="42"/>
    </row>
    <row r="7" spans="1:7" s="20" customFormat="1" ht="18" customHeight="1">
      <c r="A7" s="83"/>
      <c r="B7" s="8" t="s">
        <v>10</v>
      </c>
      <c r="C7" s="74"/>
      <c r="D7" s="74">
        <v>40000</v>
      </c>
      <c r="E7" s="40">
        <f t="shared" si="0"/>
        <v>-564000</v>
      </c>
      <c r="G7" s="42"/>
    </row>
    <row r="8" spans="1:7" s="20" customFormat="1" ht="18" customHeight="1">
      <c r="A8" s="10">
        <v>46026</v>
      </c>
      <c r="B8" s="8" t="s">
        <v>11</v>
      </c>
      <c r="C8" s="74"/>
      <c r="D8" s="74">
        <v>51000</v>
      </c>
      <c r="E8" s="40">
        <f t="shared" si="0"/>
        <v>-615000</v>
      </c>
      <c r="G8" s="42"/>
    </row>
    <row r="9" spans="1:7" s="20" customFormat="1" ht="18" customHeight="1">
      <c r="A9" s="82">
        <v>46031</v>
      </c>
      <c r="B9" s="8" t="s">
        <v>12</v>
      </c>
      <c r="C9" s="74"/>
      <c r="D9" s="74">
        <v>5000</v>
      </c>
      <c r="E9" s="40">
        <f t="shared" si="0"/>
        <v>-620000</v>
      </c>
      <c r="G9" s="42"/>
    </row>
    <row r="10" spans="1:7" s="20" customFormat="1" ht="18" customHeight="1">
      <c r="A10" s="83"/>
      <c r="B10" s="8" t="s">
        <v>13</v>
      </c>
      <c r="C10" s="74">
        <v>110000</v>
      </c>
      <c r="D10" s="74"/>
      <c r="E10" s="40">
        <f t="shared" si="0"/>
        <v>-510000</v>
      </c>
      <c r="G10" s="42"/>
    </row>
    <row r="11" spans="1:7" s="20" customFormat="1" ht="18" customHeight="1">
      <c r="A11" s="82">
        <v>46033</v>
      </c>
      <c r="B11" s="8" t="s">
        <v>14</v>
      </c>
      <c r="C11" s="74">
        <v>600000</v>
      </c>
      <c r="D11" s="74"/>
      <c r="E11" s="40">
        <f t="shared" si="0"/>
        <v>90000</v>
      </c>
      <c r="G11" s="42"/>
    </row>
    <row r="12" spans="1:7" s="20" customFormat="1" ht="18" customHeight="1">
      <c r="A12" s="83"/>
      <c r="B12" s="8" t="s">
        <v>15</v>
      </c>
      <c r="C12" s="74"/>
      <c r="D12" s="74">
        <v>35000</v>
      </c>
      <c r="E12" s="40">
        <f t="shared" si="0"/>
        <v>55000</v>
      </c>
      <c r="G12" s="42"/>
    </row>
    <row r="13" spans="1:7" s="20" customFormat="1" ht="18" customHeight="1">
      <c r="A13" s="10">
        <v>46036</v>
      </c>
      <c r="B13" s="8" t="s">
        <v>16</v>
      </c>
      <c r="C13" s="74"/>
      <c r="D13" s="74">
        <v>250000</v>
      </c>
      <c r="E13" s="40">
        <f t="shared" si="0"/>
        <v>-195000</v>
      </c>
      <c r="G13" s="42"/>
    </row>
    <row r="14" spans="1:7" s="20" customFormat="1" ht="18" customHeight="1">
      <c r="A14" s="82">
        <v>46039</v>
      </c>
      <c r="B14" s="8" t="s">
        <v>17</v>
      </c>
      <c r="C14" s="74">
        <v>250000</v>
      </c>
      <c r="D14" s="74"/>
      <c r="E14" s="40">
        <f t="shared" si="0"/>
        <v>55000</v>
      </c>
      <c r="G14" s="42"/>
    </row>
    <row r="15" spans="1:7" s="20" customFormat="1" ht="18" customHeight="1">
      <c r="A15" s="83"/>
      <c r="B15" s="8" t="s">
        <v>18</v>
      </c>
      <c r="C15" s="74">
        <v>200000</v>
      </c>
      <c r="D15" s="74"/>
      <c r="E15" s="40">
        <f t="shared" si="0"/>
        <v>255000</v>
      </c>
      <c r="G15" s="42"/>
    </row>
    <row r="16" spans="1:7" s="20" customFormat="1" ht="18" customHeight="1">
      <c r="A16" s="82">
        <v>46041</v>
      </c>
      <c r="B16" s="8" t="s">
        <v>19</v>
      </c>
      <c r="C16" s="74"/>
      <c r="D16" s="74">
        <v>45000</v>
      </c>
      <c r="E16" s="40">
        <f t="shared" si="0"/>
        <v>210000</v>
      </c>
      <c r="G16" s="42"/>
    </row>
    <row r="17" spans="1:256" s="20" customFormat="1" ht="18" customHeight="1">
      <c r="A17" s="83"/>
      <c r="B17" s="8" t="s">
        <v>11</v>
      </c>
      <c r="C17" s="74"/>
      <c r="D17" s="74">
        <v>46500</v>
      </c>
      <c r="E17" s="40">
        <f t="shared" si="0"/>
        <v>163500</v>
      </c>
      <c r="G17" s="42"/>
    </row>
    <row r="18" spans="1:256" s="20" customFormat="1" ht="18" customHeight="1">
      <c r="A18" s="10">
        <v>46043</v>
      </c>
      <c r="B18" s="8" t="s">
        <v>20</v>
      </c>
      <c r="C18" s="74"/>
      <c r="D18" s="74">
        <v>150000</v>
      </c>
      <c r="E18" s="40">
        <f t="shared" si="0"/>
        <v>13500</v>
      </c>
      <c r="G18" s="42"/>
    </row>
    <row r="19" spans="1:256" s="20" customFormat="1" ht="18" customHeight="1">
      <c r="A19" s="10">
        <v>46046</v>
      </c>
      <c r="B19" s="8" t="s">
        <v>21</v>
      </c>
      <c r="C19" s="74"/>
      <c r="D19" s="74">
        <v>341000</v>
      </c>
      <c r="E19" s="40">
        <f t="shared" si="0"/>
        <v>-327500</v>
      </c>
      <c r="G19" s="44">
        <v>126000</v>
      </c>
      <c r="H19" s="45" t="s">
        <v>22</v>
      </c>
    </row>
    <row r="20" spans="1:256" s="20" customFormat="1" ht="18" customHeight="1">
      <c r="A20" s="10">
        <v>46047</v>
      </c>
      <c r="B20" s="8" t="s">
        <v>13</v>
      </c>
      <c r="C20" s="74">
        <v>926000</v>
      </c>
      <c r="D20" s="74"/>
      <c r="E20" s="40">
        <f t="shared" si="0"/>
        <v>598500</v>
      </c>
      <c r="G20" s="44">
        <v>932000</v>
      </c>
      <c r="H20" s="45" t="s">
        <v>22</v>
      </c>
    </row>
    <row r="21" spans="1:256" s="20" customFormat="1" ht="18" customHeight="1">
      <c r="A21" s="82">
        <v>46052</v>
      </c>
      <c r="B21" s="8" t="s">
        <v>23</v>
      </c>
      <c r="C21" s="74">
        <v>700000</v>
      </c>
      <c r="D21" s="74"/>
      <c r="E21" s="40">
        <f t="shared" si="0"/>
        <v>1298500</v>
      </c>
      <c r="G21" s="44">
        <v>257000</v>
      </c>
      <c r="H21" s="45" t="s">
        <v>22</v>
      </c>
    </row>
    <row r="22" spans="1:256" s="20" customFormat="1" ht="18" customHeight="1">
      <c r="A22" s="84"/>
      <c r="B22" s="8" t="s">
        <v>24</v>
      </c>
      <c r="C22" s="74">
        <v>760000</v>
      </c>
      <c r="D22" s="74"/>
      <c r="E22" s="40">
        <f t="shared" si="0"/>
        <v>2058500</v>
      </c>
      <c r="G22" s="44">
        <v>1400000</v>
      </c>
      <c r="H22" s="45" t="s">
        <v>25</v>
      </c>
    </row>
    <row r="23" spans="1:256" s="20" customFormat="1" ht="18" customHeight="1">
      <c r="A23" s="83"/>
      <c r="B23" s="8" t="s">
        <v>11</v>
      </c>
      <c r="C23" s="74"/>
      <c r="D23" s="74">
        <v>46500</v>
      </c>
      <c r="E23" s="40">
        <f t="shared" si="0"/>
        <v>2012000</v>
      </c>
      <c r="G23" s="44">
        <v>250000</v>
      </c>
      <c r="H23" s="45" t="s">
        <v>26</v>
      </c>
    </row>
    <row r="24" spans="1:256" s="21" customFormat="1" ht="17.25" customHeight="1">
      <c r="A24" s="89" t="s">
        <v>27</v>
      </c>
      <c r="B24" s="89"/>
      <c r="C24" s="46">
        <f>SUM(C4:C23)</f>
        <v>3212000</v>
      </c>
      <c r="D24" s="46">
        <f>SUM(D4:D23)</f>
        <v>1200000</v>
      </c>
      <c r="E24" s="37">
        <f>C24-D24</f>
        <v>2012000</v>
      </c>
      <c r="G24" s="44">
        <f>SUM(G19:G23)</f>
        <v>2965000</v>
      </c>
      <c r="H24" s="47"/>
    </row>
    <row r="25" spans="1:256" s="22" customFormat="1" ht="6.75" customHeight="1">
      <c r="A25" s="48"/>
      <c r="C25" s="49"/>
      <c r="D25" s="49"/>
      <c r="E25" s="50"/>
    </row>
    <row r="26" spans="1:256" s="22" customFormat="1" ht="17.25" customHeight="1">
      <c r="A26" s="90" t="s">
        <v>28</v>
      </c>
      <c r="B26" s="90"/>
      <c r="C26" s="51">
        <f>C24-C4</f>
        <v>3546000</v>
      </c>
      <c r="D26" s="49"/>
      <c r="E26" s="50"/>
      <c r="G26" s="52">
        <f>E24-G24</f>
        <v>-953000</v>
      </c>
    </row>
    <row r="27" spans="1:256" s="22" customFormat="1" ht="5.25" customHeight="1">
      <c r="A27" s="53"/>
      <c r="B27" s="53"/>
      <c r="C27" s="25"/>
      <c r="D27" s="49"/>
      <c r="E27" s="50"/>
    </row>
    <row r="28" spans="1:256" s="22" customFormat="1" ht="17.25" customHeight="1">
      <c r="A28" s="91" t="s">
        <v>29</v>
      </c>
      <c r="B28" s="91"/>
      <c r="C28" s="54">
        <f>D24</f>
        <v>1200000</v>
      </c>
      <c r="D28" s="49"/>
      <c r="E28" s="50"/>
    </row>
    <row r="29" spans="1:256" ht="24" customHeight="1">
      <c r="A29" s="55"/>
      <c r="D29" s="56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  <c r="IM29" s="57"/>
      <c r="IN29" s="57"/>
      <c r="IO29" s="57"/>
      <c r="IP29" s="57"/>
      <c r="IQ29" s="57"/>
      <c r="IR29" s="57"/>
      <c r="IS29" s="57"/>
      <c r="IT29" s="57"/>
      <c r="IU29" s="57"/>
      <c r="IV29" s="57"/>
    </row>
    <row r="30" spans="1:256">
      <c r="A30" s="55"/>
      <c r="D30" s="56" t="s">
        <v>30</v>
      </c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</row>
    <row r="31" spans="1:256">
      <c r="A31" s="58" t="s">
        <v>31</v>
      </c>
      <c r="D31" s="25" t="s">
        <v>32</v>
      </c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</row>
    <row r="32" spans="1:256">
      <c r="A32" s="58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</row>
    <row r="33" spans="1:256">
      <c r="A33" s="58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</row>
    <row r="34" spans="1:256" ht="17.25">
      <c r="A34" s="59" t="s">
        <v>33</v>
      </c>
      <c r="D34" s="60" t="s">
        <v>34</v>
      </c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7"/>
      <c r="FS34" s="57"/>
      <c r="FT34" s="57"/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  <c r="GL34" s="57"/>
      <c r="GM34" s="57"/>
      <c r="GN34" s="57"/>
      <c r="GO34" s="57"/>
      <c r="GP34" s="57"/>
      <c r="GQ34" s="57"/>
      <c r="GR34" s="57"/>
      <c r="GS34" s="57"/>
      <c r="GT34" s="57"/>
      <c r="GU34" s="57"/>
      <c r="GV34" s="57"/>
      <c r="GW34" s="57"/>
      <c r="GX34" s="57"/>
      <c r="GY34" s="57"/>
      <c r="GZ34" s="57"/>
      <c r="HA34" s="57"/>
      <c r="HB34" s="57"/>
      <c r="HC34" s="57"/>
      <c r="HD34" s="57"/>
      <c r="HE34" s="57"/>
      <c r="HF34" s="57"/>
      <c r="HG34" s="57"/>
      <c r="HH34" s="57"/>
      <c r="HI34" s="57"/>
      <c r="HJ34" s="57"/>
      <c r="HK34" s="57"/>
      <c r="HL34" s="57"/>
      <c r="HM34" s="57"/>
      <c r="HN34" s="57"/>
      <c r="HO34" s="57"/>
      <c r="HP34" s="57"/>
      <c r="HQ34" s="57"/>
      <c r="HR34" s="57"/>
      <c r="HS34" s="57"/>
      <c r="HT34" s="57"/>
      <c r="HU34" s="57"/>
      <c r="HV34" s="57"/>
      <c r="HW34" s="57"/>
      <c r="HX34" s="57"/>
      <c r="HY34" s="57"/>
      <c r="HZ34" s="57"/>
      <c r="IA34" s="57"/>
      <c r="IB34" s="57"/>
      <c r="IC34" s="57"/>
      <c r="ID34" s="57"/>
      <c r="IE34" s="57"/>
      <c r="IF34" s="57"/>
      <c r="IG34" s="57"/>
      <c r="IH34" s="57"/>
      <c r="II34" s="57"/>
      <c r="IJ34" s="57"/>
      <c r="IK34" s="57"/>
      <c r="IL34" s="57"/>
      <c r="IM34" s="57"/>
      <c r="IN34" s="57"/>
      <c r="IO34" s="57"/>
      <c r="IP34" s="57"/>
      <c r="IQ34" s="57"/>
      <c r="IR34" s="57"/>
      <c r="IS34" s="57"/>
      <c r="IT34" s="57"/>
      <c r="IU34" s="57"/>
      <c r="IV34" s="57"/>
    </row>
    <row r="35" spans="1:256">
      <c r="A35" s="58" t="s">
        <v>35</v>
      </c>
      <c r="D35" s="25" t="s">
        <v>36</v>
      </c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/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</row>
  </sheetData>
  <mergeCells count="11">
    <mergeCell ref="A1:E1"/>
    <mergeCell ref="A4:B4"/>
    <mergeCell ref="A24:B24"/>
    <mergeCell ref="A26:B26"/>
    <mergeCell ref="A28:B28"/>
    <mergeCell ref="A5:A7"/>
    <mergeCell ref="A9:A10"/>
    <mergeCell ref="A11:A12"/>
    <mergeCell ref="A14:A15"/>
    <mergeCell ref="A16:A17"/>
    <mergeCell ref="A21:A23"/>
  </mergeCells>
  <pageMargins left="1" right="0.5" top="0.75" bottom="0.75" header="0.30972222222222201" footer="0.30972222222222201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28"/>
  <sheetViews>
    <sheetView view="pageBreakPreview" zoomScaleNormal="100" workbookViewId="0">
      <pane ySplit="3" topLeftCell="A4" activePane="bottomLeft" state="frozen"/>
      <selection activeCell="A24" sqref="A24:XFD24"/>
      <selection pane="bottomLeft" activeCell="A24" sqref="A24:XFD24"/>
    </sheetView>
  </sheetViews>
  <sheetFormatPr defaultColWidth="9.140625" defaultRowHeight="15"/>
  <cols>
    <col min="1" max="1" width="17.5703125" style="23" customWidth="1"/>
    <col min="2" max="2" width="62.85546875" style="24" customWidth="1"/>
    <col min="3" max="4" width="17.42578125" style="25" customWidth="1"/>
    <col min="5" max="5" width="17.42578125" style="26" customWidth="1"/>
    <col min="6" max="6" width="4" style="24" customWidth="1"/>
    <col min="7" max="7" width="13.140625" style="24" customWidth="1"/>
    <col min="8" max="8" width="9.7109375" style="24" customWidth="1"/>
    <col min="9" max="16384" width="9.140625" style="24"/>
  </cols>
  <sheetData>
    <row r="1" spans="1:8" ht="18" customHeight="1">
      <c r="A1" s="87" t="s">
        <v>0</v>
      </c>
      <c r="B1" s="87"/>
      <c r="C1" s="88"/>
      <c r="D1" s="88"/>
      <c r="E1" s="87"/>
    </row>
    <row r="2" spans="1:8" ht="18" customHeight="1">
      <c r="A2" s="27" t="s">
        <v>37</v>
      </c>
      <c r="B2" s="28"/>
      <c r="C2" s="29"/>
      <c r="D2" s="29"/>
      <c r="E2" s="30"/>
    </row>
    <row r="3" spans="1:8" s="17" customFormat="1" ht="18" customHeight="1">
      <c r="A3" s="31" t="s">
        <v>2</v>
      </c>
      <c r="B3" s="32" t="s">
        <v>3</v>
      </c>
      <c r="C3" s="33" t="s">
        <v>4</v>
      </c>
      <c r="D3" s="33" t="s">
        <v>5</v>
      </c>
      <c r="E3" s="34" t="s">
        <v>6</v>
      </c>
    </row>
    <row r="4" spans="1:8" s="18" customFormat="1" ht="18" customHeight="1">
      <c r="A4" s="85" t="s">
        <v>38</v>
      </c>
      <c r="B4" s="85"/>
      <c r="C4" s="35">
        <f>'Jan''26'!E24</f>
        <v>2012000</v>
      </c>
      <c r="D4" s="36"/>
      <c r="E4" s="37">
        <f>C4-F4</f>
        <v>2012000</v>
      </c>
    </row>
    <row r="5" spans="1:8" s="19" customFormat="1" ht="21" customHeight="1">
      <c r="A5" s="11">
        <v>46057</v>
      </c>
      <c r="B5" s="38" t="s">
        <v>13</v>
      </c>
      <c r="C5" s="9">
        <v>110000</v>
      </c>
      <c r="D5" s="39"/>
      <c r="E5" s="40">
        <f t="shared" ref="E5:E16" si="0">E4+C5-D5</f>
        <v>2122000</v>
      </c>
      <c r="G5" s="41"/>
    </row>
    <row r="6" spans="1:8" s="20" customFormat="1" ht="21" customHeight="1">
      <c r="A6" s="11">
        <v>46060</v>
      </c>
      <c r="B6" s="38" t="s">
        <v>13</v>
      </c>
      <c r="C6" s="9">
        <v>354000</v>
      </c>
      <c r="D6" s="9"/>
      <c r="E6" s="40">
        <f t="shared" si="0"/>
        <v>2476000</v>
      </c>
      <c r="G6" s="42"/>
    </row>
    <row r="7" spans="1:8" s="20" customFormat="1" ht="21" customHeight="1">
      <c r="A7" s="82">
        <v>46064</v>
      </c>
      <c r="B7" s="8" t="s">
        <v>39</v>
      </c>
      <c r="C7" s="9"/>
      <c r="D7" s="9">
        <v>250000</v>
      </c>
      <c r="E7" s="40">
        <f t="shared" si="0"/>
        <v>2226000</v>
      </c>
      <c r="G7" s="42"/>
    </row>
    <row r="8" spans="1:8" s="20" customFormat="1" ht="21" customHeight="1">
      <c r="A8" s="83"/>
      <c r="B8" s="8" t="s">
        <v>40</v>
      </c>
      <c r="C8" s="9">
        <v>130000</v>
      </c>
      <c r="D8" s="9"/>
      <c r="E8" s="40">
        <f t="shared" si="0"/>
        <v>2356000</v>
      </c>
      <c r="G8" s="42"/>
    </row>
    <row r="9" spans="1:8" s="20" customFormat="1" ht="21" customHeight="1">
      <c r="A9" s="11">
        <v>46066</v>
      </c>
      <c r="B9" s="8" t="s">
        <v>41</v>
      </c>
      <c r="C9" s="9"/>
      <c r="D9" s="9">
        <v>26000</v>
      </c>
      <c r="E9" s="40">
        <f t="shared" si="0"/>
        <v>2330000</v>
      </c>
      <c r="G9" s="42"/>
    </row>
    <row r="10" spans="1:8" s="20" customFormat="1" ht="21" customHeight="1">
      <c r="A10" s="11">
        <v>46071</v>
      </c>
      <c r="B10" s="8" t="s">
        <v>42</v>
      </c>
      <c r="C10" s="9"/>
      <c r="D10" s="9">
        <v>775000</v>
      </c>
      <c r="E10" s="40">
        <f t="shared" si="0"/>
        <v>1555000</v>
      </c>
      <c r="G10" s="42"/>
    </row>
    <row r="11" spans="1:8" s="20" customFormat="1" ht="21" customHeight="1">
      <c r="A11" s="82">
        <v>46072</v>
      </c>
      <c r="B11" s="8" t="s">
        <v>43</v>
      </c>
      <c r="C11" s="9">
        <v>250000</v>
      </c>
      <c r="D11" s="9"/>
      <c r="E11" s="40">
        <f t="shared" si="0"/>
        <v>1805000</v>
      </c>
      <c r="G11" s="42"/>
    </row>
    <row r="12" spans="1:8" s="20" customFormat="1" ht="21" customHeight="1">
      <c r="A12" s="83"/>
      <c r="B12" s="8" t="s">
        <v>11</v>
      </c>
      <c r="C12" s="9"/>
      <c r="D12" s="9">
        <v>53000</v>
      </c>
      <c r="E12" s="40">
        <f t="shared" si="0"/>
        <v>1752000</v>
      </c>
      <c r="G12" s="44">
        <v>126000</v>
      </c>
      <c r="H12" s="45" t="s">
        <v>22</v>
      </c>
    </row>
    <row r="13" spans="1:8" s="20" customFormat="1" ht="21" customHeight="1">
      <c r="A13" s="10">
        <v>46074</v>
      </c>
      <c r="B13" s="8" t="s">
        <v>13</v>
      </c>
      <c r="C13" s="9">
        <v>1183000</v>
      </c>
      <c r="D13" s="9"/>
      <c r="E13" s="40">
        <f t="shared" si="0"/>
        <v>2935000</v>
      </c>
      <c r="G13" s="44">
        <v>932000</v>
      </c>
      <c r="H13" s="45" t="s">
        <v>22</v>
      </c>
    </row>
    <row r="14" spans="1:8" s="20" customFormat="1" ht="21" customHeight="1">
      <c r="A14" s="10">
        <v>46080</v>
      </c>
      <c r="B14" s="8" t="s">
        <v>44</v>
      </c>
      <c r="C14" s="9"/>
      <c r="D14" s="9">
        <v>37000</v>
      </c>
      <c r="E14" s="40">
        <f t="shared" si="0"/>
        <v>2898000</v>
      </c>
      <c r="G14" s="44">
        <v>257000</v>
      </c>
      <c r="H14" s="45" t="s">
        <v>22</v>
      </c>
    </row>
    <row r="15" spans="1:8" s="20" customFormat="1" ht="21" customHeight="1">
      <c r="A15" s="82">
        <v>46081</v>
      </c>
      <c r="B15" s="8" t="s">
        <v>45</v>
      </c>
      <c r="C15" s="9">
        <v>700000</v>
      </c>
      <c r="D15" s="9"/>
      <c r="E15" s="40">
        <f t="shared" si="0"/>
        <v>3598000</v>
      </c>
      <c r="G15" s="44">
        <v>1400000</v>
      </c>
      <c r="H15" s="45" t="s">
        <v>25</v>
      </c>
    </row>
    <row r="16" spans="1:8" s="20" customFormat="1" ht="21" customHeight="1">
      <c r="A16" s="83"/>
      <c r="B16" s="8" t="s">
        <v>46</v>
      </c>
      <c r="C16" s="9">
        <v>400000</v>
      </c>
      <c r="D16" s="9"/>
      <c r="E16" s="40">
        <f t="shared" si="0"/>
        <v>3998000</v>
      </c>
      <c r="G16" s="44">
        <v>250000</v>
      </c>
      <c r="H16" s="45" t="s">
        <v>26</v>
      </c>
    </row>
    <row r="17" spans="1:256" s="21" customFormat="1" ht="17.25" customHeight="1">
      <c r="A17" s="89" t="s">
        <v>47</v>
      </c>
      <c r="B17" s="89"/>
      <c r="C17" s="46">
        <f>SUM(C4:C16)</f>
        <v>5139000</v>
      </c>
      <c r="D17" s="46">
        <f>SUM(D4:D16)</f>
        <v>1141000</v>
      </c>
      <c r="E17" s="37">
        <f>C17-D17</f>
        <v>3998000</v>
      </c>
      <c r="G17" s="44">
        <f>SUM(G12:G16)</f>
        <v>2965000</v>
      </c>
      <c r="H17" s="47"/>
    </row>
    <row r="18" spans="1:256" s="22" customFormat="1" ht="6.75" customHeight="1">
      <c r="A18" s="48"/>
      <c r="C18" s="49"/>
      <c r="D18" s="49"/>
      <c r="E18" s="50"/>
    </row>
    <row r="19" spans="1:256" s="22" customFormat="1" ht="17.25" customHeight="1">
      <c r="A19" s="90" t="s">
        <v>48</v>
      </c>
      <c r="B19" s="90"/>
      <c r="C19" s="51">
        <f>C17-C4</f>
        <v>3127000</v>
      </c>
      <c r="D19" s="49"/>
      <c r="E19" s="50"/>
      <c r="G19" s="52">
        <f>E17-G17</f>
        <v>1033000</v>
      </c>
    </row>
    <row r="20" spans="1:256" s="22" customFormat="1" ht="5.25" customHeight="1">
      <c r="A20" s="53"/>
      <c r="B20" s="53"/>
      <c r="C20" s="25"/>
      <c r="D20" s="49"/>
      <c r="E20" s="50"/>
    </row>
    <row r="21" spans="1:256" s="22" customFormat="1" ht="17.25" customHeight="1">
      <c r="A21" s="91" t="s">
        <v>49</v>
      </c>
      <c r="B21" s="91"/>
      <c r="C21" s="54">
        <f>D17</f>
        <v>1141000</v>
      </c>
      <c r="D21" s="49"/>
      <c r="E21" s="50"/>
    </row>
    <row r="22" spans="1:256" ht="24" customHeight="1">
      <c r="A22" s="55"/>
      <c r="D22" s="56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  <c r="HO22" s="57"/>
      <c r="HP22" s="57"/>
      <c r="HQ22" s="57"/>
      <c r="HR22" s="57"/>
      <c r="HS22" s="57"/>
      <c r="HT22" s="57"/>
      <c r="HU22" s="57"/>
      <c r="HV22" s="57"/>
      <c r="HW22" s="57"/>
      <c r="HX22" s="57"/>
      <c r="HY22" s="57"/>
      <c r="HZ22" s="57"/>
      <c r="IA22" s="57"/>
      <c r="IB22" s="57"/>
      <c r="IC22" s="57"/>
      <c r="ID22" s="57"/>
      <c r="IE22" s="57"/>
      <c r="IF22" s="57"/>
      <c r="IG22" s="57"/>
      <c r="IH22" s="57"/>
      <c r="II22" s="57"/>
      <c r="IJ22" s="57"/>
      <c r="IK22" s="57"/>
      <c r="IL22" s="57"/>
      <c r="IM22" s="57"/>
      <c r="IN22" s="57"/>
      <c r="IO22" s="57"/>
      <c r="IP22" s="57"/>
      <c r="IQ22" s="57"/>
      <c r="IR22" s="57"/>
      <c r="IS22" s="57"/>
      <c r="IT22" s="57"/>
      <c r="IU22" s="57"/>
      <c r="IV22" s="57"/>
    </row>
    <row r="23" spans="1:256">
      <c r="A23" s="55"/>
      <c r="D23" s="56" t="s">
        <v>50</v>
      </c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/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/>
      <c r="IO23" s="57"/>
      <c r="IP23" s="57"/>
      <c r="IQ23" s="57"/>
      <c r="IR23" s="57"/>
      <c r="IS23" s="57"/>
      <c r="IT23" s="57"/>
      <c r="IU23" s="57"/>
      <c r="IV23" s="57"/>
    </row>
    <row r="24" spans="1:256">
      <c r="A24" s="58" t="s">
        <v>31</v>
      </c>
      <c r="D24" s="25" t="s">
        <v>32</v>
      </c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</row>
    <row r="25" spans="1:256">
      <c r="A25" s="58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</row>
    <row r="26" spans="1:256">
      <c r="A26" s="58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7"/>
      <c r="FO26" s="57"/>
      <c r="FP26" s="57"/>
      <c r="FQ26" s="57"/>
      <c r="FR26" s="57"/>
      <c r="FS26" s="57"/>
      <c r="FT26" s="57"/>
      <c r="FU26" s="57"/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  <c r="GL26" s="57"/>
      <c r="GM26" s="57"/>
      <c r="GN26" s="57"/>
      <c r="GO26" s="57"/>
      <c r="GP26" s="57"/>
      <c r="GQ26" s="57"/>
      <c r="GR26" s="57"/>
      <c r="GS26" s="57"/>
      <c r="GT26" s="57"/>
      <c r="GU26" s="57"/>
      <c r="GV26" s="57"/>
      <c r="GW26" s="57"/>
      <c r="GX26" s="57"/>
      <c r="GY26" s="57"/>
      <c r="GZ26" s="57"/>
      <c r="HA26" s="57"/>
      <c r="HB26" s="57"/>
      <c r="HC26" s="57"/>
      <c r="HD26" s="57"/>
      <c r="HE26" s="57"/>
      <c r="HF26" s="57"/>
      <c r="HG26" s="57"/>
      <c r="HH26" s="57"/>
      <c r="HI26" s="57"/>
      <c r="HJ26" s="57"/>
      <c r="HK26" s="57"/>
      <c r="HL26" s="57"/>
      <c r="HM26" s="57"/>
      <c r="HN26" s="57"/>
      <c r="HO26" s="57"/>
      <c r="HP26" s="57"/>
      <c r="HQ26" s="57"/>
      <c r="HR26" s="57"/>
      <c r="HS26" s="57"/>
      <c r="HT26" s="57"/>
      <c r="HU26" s="57"/>
      <c r="HV26" s="57"/>
      <c r="HW26" s="57"/>
      <c r="HX26" s="57"/>
      <c r="HY26" s="57"/>
      <c r="HZ26" s="57"/>
      <c r="IA26" s="57"/>
      <c r="IB26" s="57"/>
      <c r="IC26" s="57"/>
      <c r="ID26" s="57"/>
      <c r="IE26" s="57"/>
      <c r="IF26" s="57"/>
      <c r="IG26" s="57"/>
      <c r="IH26" s="57"/>
      <c r="II26" s="57"/>
      <c r="IJ26" s="57"/>
      <c r="IK26" s="57"/>
      <c r="IL26" s="57"/>
      <c r="IM26" s="57"/>
      <c r="IN26" s="57"/>
      <c r="IO26" s="57"/>
      <c r="IP26" s="57"/>
      <c r="IQ26" s="57"/>
      <c r="IR26" s="57"/>
      <c r="IS26" s="57"/>
      <c r="IT26" s="57"/>
      <c r="IU26" s="57"/>
      <c r="IV26" s="57"/>
    </row>
    <row r="27" spans="1:256" ht="17.25">
      <c r="A27" s="59" t="s">
        <v>33</v>
      </c>
      <c r="D27" s="60" t="s">
        <v>34</v>
      </c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57"/>
      <c r="FJ27" s="57"/>
      <c r="FK27" s="57"/>
      <c r="FL27" s="57"/>
      <c r="FM27" s="57"/>
      <c r="FN27" s="57"/>
      <c r="FO27" s="57"/>
      <c r="FP27" s="57"/>
      <c r="FQ27" s="57"/>
      <c r="FR27" s="57"/>
      <c r="FS27" s="57"/>
      <c r="FT27" s="57"/>
      <c r="FU27" s="57"/>
      <c r="FV27" s="57"/>
      <c r="FW27" s="57"/>
      <c r="FX27" s="57"/>
      <c r="FY27" s="57"/>
      <c r="FZ27" s="57"/>
      <c r="GA27" s="57"/>
      <c r="GB27" s="57"/>
      <c r="GC27" s="57"/>
      <c r="GD27" s="57"/>
      <c r="GE27" s="57"/>
      <c r="GF27" s="57"/>
      <c r="GG27" s="57"/>
      <c r="GH27" s="57"/>
      <c r="GI27" s="57"/>
      <c r="GJ27" s="57"/>
      <c r="GK27" s="57"/>
      <c r="GL27" s="57"/>
      <c r="GM27" s="57"/>
      <c r="GN27" s="57"/>
      <c r="GO27" s="57"/>
      <c r="GP27" s="57"/>
      <c r="GQ27" s="57"/>
      <c r="GR27" s="57"/>
      <c r="GS27" s="57"/>
      <c r="GT27" s="57"/>
      <c r="GU27" s="57"/>
      <c r="GV27" s="57"/>
      <c r="GW27" s="57"/>
      <c r="GX27" s="57"/>
      <c r="GY27" s="57"/>
      <c r="GZ27" s="57"/>
      <c r="HA27" s="57"/>
      <c r="HB27" s="57"/>
      <c r="HC27" s="57"/>
      <c r="HD27" s="57"/>
      <c r="HE27" s="57"/>
      <c r="HF27" s="57"/>
      <c r="HG27" s="57"/>
      <c r="HH27" s="57"/>
      <c r="HI27" s="57"/>
      <c r="HJ27" s="57"/>
      <c r="HK27" s="57"/>
      <c r="HL27" s="57"/>
      <c r="HM27" s="57"/>
      <c r="HN27" s="57"/>
      <c r="HO27" s="57"/>
      <c r="HP27" s="57"/>
      <c r="HQ27" s="57"/>
      <c r="HR27" s="57"/>
      <c r="HS27" s="57"/>
      <c r="HT27" s="57"/>
      <c r="HU27" s="57"/>
      <c r="HV27" s="57"/>
      <c r="HW27" s="57"/>
      <c r="HX27" s="57"/>
      <c r="HY27" s="57"/>
      <c r="HZ27" s="57"/>
      <c r="IA27" s="57"/>
      <c r="IB27" s="57"/>
      <c r="IC27" s="57"/>
      <c r="ID27" s="57"/>
      <c r="IE27" s="57"/>
      <c r="IF27" s="57"/>
      <c r="IG27" s="57"/>
      <c r="IH27" s="57"/>
      <c r="II27" s="57"/>
      <c r="IJ27" s="57"/>
      <c r="IK27" s="57"/>
      <c r="IL27" s="57"/>
      <c r="IM27" s="57"/>
      <c r="IN27" s="57"/>
      <c r="IO27" s="57"/>
      <c r="IP27" s="57"/>
      <c r="IQ27" s="57"/>
      <c r="IR27" s="57"/>
      <c r="IS27" s="57"/>
      <c r="IT27" s="57"/>
      <c r="IU27" s="57"/>
      <c r="IV27" s="57"/>
    </row>
    <row r="28" spans="1:256">
      <c r="A28" s="58" t="s">
        <v>35</v>
      </c>
      <c r="D28" s="25" t="s">
        <v>36</v>
      </c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</row>
  </sheetData>
  <mergeCells count="8">
    <mergeCell ref="A1:E1"/>
    <mergeCell ref="A4:B4"/>
    <mergeCell ref="A17:B17"/>
    <mergeCell ref="A19:B19"/>
    <mergeCell ref="A21:B21"/>
    <mergeCell ref="A7:A8"/>
    <mergeCell ref="A11:A12"/>
    <mergeCell ref="A15:A16"/>
  </mergeCells>
  <pageMargins left="0.75" right="0.75" top="1" bottom="0.5" header="0.5" footer="0.5"/>
  <pageSetup paperSize="9" scale="9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>
      <pane ySplit="4" topLeftCell="A31" activePane="bottomLeft" state="frozen"/>
      <selection activeCell="A24" sqref="A24:XFD24"/>
      <selection pane="bottomLeft" activeCell="A24" sqref="A24:XFD24"/>
    </sheetView>
  </sheetViews>
  <sheetFormatPr defaultColWidth="9.140625" defaultRowHeight="21" customHeight="1"/>
  <cols>
    <col min="1" max="1" width="18.28515625" style="66" customWidth="1"/>
    <col min="2" max="2" width="35.7109375" style="67" customWidth="1"/>
    <col min="3" max="5" width="15.28515625" style="68" customWidth="1"/>
    <col min="6" max="6" width="17.42578125" style="67" customWidth="1"/>
    <col min="7" max="16384" width="9.140625" style="67"/>
  </cols>
  <sheetData>
    <row r="1" spans="1:6" ht="21" customHeight="1">
      <c r="A1" s="92" t="s">
        <v>51</v>
      </c>
      <c r="B1" s="92"/>
      <c r="C1" s="92"/>
      <c r="D1" s="92"/>
      <c r="E1" s="92"/>
      <c r="F1" s="92"/>
    </row>
    <row r="2" spans="1:6" ht="21" customHeight="1">
      <c r="A2" s="92" t="s">
        <v>52</v>
      </c>
      <c r="B2" s="92"/>
      <c r="C2" s="92"/>
      <c r="D2" s="92"/>
      <c r="E2" s="92"/>
      <c r="F2" s="92"/>
    </row>
    <row r="3" spans="1:6" ht="6.95" customHeight="1"/>
    <row r="4" spans="1:6" s="66" customFormat="1" ht="21" customHeight="1">
      <c r="A4" s="69" t="s">
        <v>53</v>
      </c>
      <c r="B4" s="69" t="s">
        <v>3</v>
      </c>
      <c r="C4" s="70" t="s">
        <v>4</v>
      </c>
      <c r="D4" s="70" t="s">
        <v>5</v>
      </c>
      <c r="E4" s="70" t="s">
        <v>6</v>
      </c>
      <c r="F4" s="70" t="s">
        <v>54</v>
      </c>
    </row>
    <row r="5" spans="1:6" ht="21" customHeight="1">
      <c r="A5" s="11">
        <v>46072</v>
      </c>
      <c r="B5" s="71" t="s">
        <v>55</v>
      </c>
      <c r="C5" s="72">
        <v>140000</v>
      </c>
      <c r="D5" s="72"/>
      <c r="E5" s="72">
        <f>C5</f>
        <v>140000</v>
      </c>
      <c r="F5" s="71"/>
    </row>
    <row r="6" spans="1:6" ht="21" customHeight="1">
      <c r="A6" s="11">
        <v>46073</v>
      </c>
      <c r="B6" s="71" t="s">
        <v>56</v>
      </c>
      <c r="C6" s="72">
        <v>160000</v>
      </c>
      <c r="D6" s="72"/>
      <c r="E6" s="72">
        <f>E5+C6-D6</f>
        <v>300000</v>
      </c>
      <c r="F6" s="71"/>
    </row>
    <row r="7" spans="1:6" ht="21" customHeight="1">
      <c r="A7" s="11">
        <v>46074</v>
      </c>
      <c r="B7" s="71" t="s">
        <v>57</v>
      </c>
      <c r="C7" s="72">
        <v>164000</v>
      </c>
      <c r="D7" s="72"/>
      <c r="E7" s="72">
        <f t="shared" ref="E7:E40" si="0">E6+C7-D7</f>
        <v>464000</v>
      </c>
      <c r="F7" s="71"/>
    </row>
    <row r="8" spans="1:6" ht="21" customHeight="1">
      <c r="A8" s="11">
        <v>46075</v>
      </c>
      <c r="B8" s="71" t="s">
        <v>58</v>
      </c>
      <c r="C8" s="72">
        <v>120000</v>
      </c>
      <c r="D8" s="72"/>
      <c r="E8" s="72">
        <f t="shared" si="0"/>
        <v>584000</v>
      </c>
      <c r="F8" s="71"/>
    </row>
    <row r="9" spans="1:6" ht="21" customHeight="1">
      <c r="A9" s="11">
        <v>46076</v>
      </c>
      <c r="B9" s="71" t="s">
        <v>59</v>
      </c>
      <c r="C9" s="72">
        <v>132000</v>
      </c>
      <c r="D9" s="72"/>
      <c r="E9" s="72">
        <f t="shared" si="0"/>
        <v>716000</v>
      </c>
      <c r="F9" s="71"/>
    </row>
    <row r="10" spans="1:6" ht="21" customHeight="1">
      <c r="A10" s="11">
        <v>46077</v>
      </c>
      <c r="B10" s="71" t="s">
        <v>60</v>
      </c>
      <c r="C10" s="72">
        <v>136000</v>
      </c>
      <c r="D10" s="72"/>
      <c r="E10" s="72">
        <f t="shared" si="0"/>
        <v>852000</v>
      </c>
      <c r="F10" s="71"/>
    </row>
    <row r="11" spans="1:6" ht="21" customHeight="1">
      <c r="A11" s="11">
        <v>46078</v>
      </c>
      <c r="B11" s="71" t="s">
        <v>61</v>
      </c>
      <c r="C11" s="72">
        <v>120000</v>
      </c>
      <c r="D11" s="72"/>
      <c r="E11" s="72">
        <f t="shared" si="0"/>
        <v>972000</v>
      </c>
      <c r="F11" s="71"/>
    </row>
    <row r="12" spans="1:6" ht="21" customHeight="1">
      <c r="A12" s="11">
        <v>46078</v>
      </c>
      <c r="B12" s="71" t="s">
        <v>62</v>
      </c>
      <c r="C12" s="72"/>
      <c r="D12" s="72">
        <v>75000</v>
      </c>
      <c r="E12" s="72">
        <f t="shared" si="0"/>
        <v>897000</v>
      </c>
      <c r="F12" s="71"/>
    </row>
    <row r="13" spans="1:6" ht="21" customHeight="1">
      <c r="A13" s="11">
        <v>46079</v>
      </c>
      <c r="B13" s="71" t="s">
        <v>63</v>
      </c>
      <c r="C13" s="72">
        <v>140000</v>
      </c>
      <c r="D13" s="72"/>
      <c r="E13" s="72">
        <f t="shared" si="0"/>
        <v>1037000</v>
      </c>
      <c r="F13" s="71"/>
    </row>
    <row r="14" spans="1:6" ht="21" customHeight="1">
      <c r="A14" s="11">
        <v>46080</v>
      </c>
      <c r="B14" s="71" t="s">
        <v>64</v>
      </c>
      <c r="C14" s="72">
        <v>120000</v>
      </c>
      <c r="D14" s="72"/>
      <c r="E14" s="72">
        <f t="shared" si="0"/>
        <v>1157000</v>
      </c>
      <c r="F14" s="71"/>
    </row>
    <row r="15" spans="1:6" ht="21" customHeight="1">
      <c r="A15" s="11">
        <v>46081</v>
      </c>
      <c r="B15" s="71" t="s">
        <v>65</v>
      </c>
      <c r="C15" s="72">
        <v>120000</v>
      </c>
      <c r="D15" s="72"/>
      <c r="E15" s="72">
        <f t="shared" si="0"/>
        <v>1277000</v>
      </c>
      <c r="F15" s="71"/>
    </row>
    <row r="16" spans="1:6" ht="21" customHeight="1">
      <c r="A16" s="11">
        <v>46082</v>
      </c>
      <c r="B16" s="71" t="s">
        <v>66</v>
      </c>
      <c r="C16" s="72">
        <v>120000</v>
      </c>
      <c r="D16" s="72"/>
      <c r="E16" s="72">
        <f t="shared" si="0"/>
        <v>1397000</v>
      </c>
      <c r="F16" s="71"/>
    </row>
    <row r="17" spans="1:6" ht="21" customHeight="1">
      <c r="A17" s="11">
        <v>46083</v>
      </c>
      <c r="B17" s="71" t="s">
        <v>67</v>
      </c>
      <c r="C17" s="72">
        <v>120000</v>
      </c>
      <c r="D17" s="72"/>
      <c r="E17" s="72">
        <f t="shared" si="0"/>
        <v>1517000</v>
      </c>
      <c r="F17" s="71"/>
    </row>
    <row r="18" spans="1:6" ht="21" customHeight="1">
      <c r="A18" s="11">
        <v>46084</v>
      </c>
      <c r="B18" s="71" t="s">
        <v>68</v>
      </c>
      <c r="C18" s="72">
        <v>120000</v>
      </c>
      <c r="D18" s="72"/>
      <c r="E18" s="72">
        <f t="shared" si="0"/>
        <v>1637000</v>
      </c>
      <c r="F18" s="71"/>
    </row>
    <row r="19" spans="1:6" ht="21" customHeight="1">
      <c r="A19" s="11">
        <v>46085</v>
      </c>
      <c r="B19" s="71" t="s">
        <v>69</v>
      </c>
      <c r="C19" s="72">
        <v>120000</v>
      </c>
      <c r="D19" s="72"/>
      <c r="E19" s="72">
        <f t="shared" si="0"/>
        <v>1757000</v>
      </c>
      <c r="F19" s="71"/>
    </row>
    <row r="20" spans="1:6" ht="21" customHeight="1">
      <c r="A20" s="11">
        <v>46085</v>
      </c>
      <c r="B20" s="71" t="s">
        <v>70</v>
      </c>
      <c r="C20" s="72"/>
      <c r="D20" s="72">
        <v>75000</v>
      </c>
      <c r="E20" s="72">
        <f t="shared" si="0"/>
        <v>1682000</v>
      </c>
      <c r="F20" s="71"/>
    </row>
    <row r="21" spans="1:6" ht="21" customHeight="1">
      <c r="A21" s="11">
        <v>46086</v>
      </c>
      <c r="B21" s="71" t="s">
        <v>71</v>
      </c>
      <c r="C21" s="72">
        <v>120000</v>
      </c>
      <c r="D21" s="72"/>
      <c r="E21" s="72">
        <f t="shared" si="0"/>
        <v>1802000</v>
      </c>
      <c r="F21" s="71"/>
    </row>
    <row r="22" spans="1:6" ht="21" customHeight="1">
      <c r="A22" s="11">
        <v>46087</v>
      </c>
      <c r="B22" s="71" t="s">
        <v>72</v>
      </c>
      <c r="C22" s="72">
        <v>60000</v>
      </c>
      <c r="D22" s="72"/>
      <c r="E22" s="72">
        <f t="shared" si="0"/>
        <v>1862000</v>
      </c>
      <c r="F22" s="71"/>
    </row>
    <row r="23" spans="1:6" ht="21" customHeight="1">
      <c r="A23" s="11">
        <v>46088</v>
      </c>
      <c r="B23" s="71" t="s">
        <v>73</v>
      </c>
      <c r="C23" s="72">
        <v>100000</v>
      </c>
      <c r="D23" s="72"/>
      <c r="E23" s="72">
        <f t="shared" si="0"/>
        <v>1962000</v>
      </c>
      <c r="F23" s="71"/>
    </row>
    <row r="24" spans="1:6" ht="21" customHeight="1">
      <c r="A24" s="11">
        <v>46089</v>
      </c>
      <c r="B24" s="71" t="s">
        <v>74</v>
      </c>
      <c r="C24" s="72">
        <v>100000</v>
      </c>
      <c r="D24" s="72"/>
      <c r="E24" s="72">
        <f t="shared" si="0"/>
        <v>2062000</v>
      </c>
      <c r="F24" s="71"/>
    </row>
    <row r="25" spans="1:6" ht="21" customHeight="1">
      <c r="A25" s="11">
        <v>46090</v>
      </c>
      <c r="B25" s="71" t="s">
        <v>75</v>
      </c>
      <c r="C25" s="72">
        <v>100000</v>
      </c>
      <c r="D25" s="72"/>
      <c r="E25" s="72">
        <f t="shared" si="0"/>
        <v>2162000</v>
      </c>
      <c r="F25" s="71"/>
    </row>
    <row r="26" spans="1:6" ht="21" customHeight="1">
      <c r="A26" s="11">
        <v>46091</v>
      </c>
      <c r="B26" s="71" t="s">
        <v>76</v>
      </c>
      <c r="C26" s="72">
        <v>0</v>
      </c>
      <c r="D26" s="72"/>
      <c r="E26" s="72">
        <f t="shared" si="0"/>
        <v>2162000</v>
      </c>
      <c r="F26" s="71" t="s">
        <v>77</v>
      </c>
    </row>
    <row r="27" spans="1:6" ht="21" customHeight="1">
      <c r="A27" s="11">
        <v>46092</v>
      </c>
      <c r="B27" s="71" t="s">
        <v>78</v>
      </c>
      <c r="C27" s="72">
        <v>0</v>
      </c>
      <c r="D27" s="72"/>
      <c r="E27" s="72">
        <f t="shared" si="0"/>
        <v>2162000</v>
      </c>
      <c r="F27" s="71" t="s">
        <v>77</v>
      </c>
    </row>
    <row r="28" spans="1:6" ht="21" customHeight="1">
      <c r="A28" s="11">
        <v>46092</v>
      </c>
      <c r="B28" s="71" t="s">
        <v>79</v>
      </c>
      <c r="C28" s="72"/>
      <c r="D28" s="72">
        <v>75000</v>
      </c>
      <c r="E28" s="72">
        <f t="shared" si="0"/>
        <v>2087000</v>
      </c>
      <c r="F28" s="71"/>
    </row>
    <row r="29" spans="1:6" ht="21" customHeight="1">
      <c r="A29" s="11">
        <v>46093</v>
      </c>
      <c r="B29" s="71" t="s">
        <v>80</v>
      </c>
      <c r="C29" s="72">
        <v>64000</v>
      </c>
      <c r="D29" s="72"/>
      <c r="E29" s="72">
        <f t="shared" si="0"/>
        <v>2151000</v>
      </c>
      <c r="F29" s="71"/>
    </row>
    <row r="30" spans="1:6" ht="21" customHeight="1">
      <c r="A30" s="11">
        <v>46094</v>
      </c>
      <c r="B30" s="71" t="s">
        <v>81</v>
      </c>
      <c r="C30" s="72">
        <v>100000</v>
      </c>
      <c r="D30" s="72"/>
      <c r="E30" s="72">
        <f t="shared" si="0"/>
        <v>2251000</v>
      </c>
      <c r="F30" s="71"/>
    </row>
    <row r="31" spans="1:6" ht="21" customHeight="1">
      <c r="A31" s="11">
        <v>46095</v>
      </c>
      <c r="B31" s="71" t="s">
        <v>82</v>
      </c>
      <c r="C31" s="72">
        <v>0</v>
      </c>
      <c r="D31" s="72"/>
      <c r="E31" s="72">
        <f t="shared" si="0"/>
        <v>2251000</v>
      </c>
      <c r="F31" s="71" t="s">
        <v>77</v>
      </c>
    </row>
    <row r="32" spans="1:6" ht="21" customHeight="1">
      <c r="A32" s="11">
        <v>46096</v>
      </c>
      <c r="B32" s="71" t="s">
        <v>83</v>
      </c>
      <c r="C32" s="72">
        <v>88000</v>
      </c>
      <c r="D32" s="72"/>
      <c r="E32" s="72">
        <f t="shared" si="0"/>
        <v>2339000</v>
      </c>
      <c r="F32" s="71"/>
    </row>
    <row r="33" spans="1:6" ht="21" customHeight="1">
      <c r="A33" s="11">
        <v>46097</v>
      </c>
      <c r="B33" s="71" t="s">
        <v>84</v>
      </c>
      <c r="C33" s="72">
        <v>0</v>
      </c>
      <c r="D33" s="72"/>
      <c r="E33" s="72">
        <f t="shared" si="0"/>
        <v>2339000</v>
      </c>
      <c r="F33" s="71" t="s">
        <v>85</v>
      </c>
    </row>
    <row r="34" spans="1:6" ht="21" customHeight="1">
      <c r="A34" s="11">
        <v>46098</v>
      </c>
      <c r="B34" s="71" t="s">
        <v>86</v>
      </c>
      <c r="C34" s="72">
        <v>0</v>
      </c>
      <c r="D34" s="72"/>
      <c r="E34" s="72">
        <f t="shared" si="0"/>
        <v>2339000</v>
      </c>
      <c r="F34" s="71" t="s">
        <v>85</v>
      </c>
    </row>
    <row r="35" spans="1:6" ht="21" customHeight="1">
      <c r="A35" s="11">
        <v>46099</v>
      </c>
      <c r="B35" s="71" t="s">
        <v>87</v>
      </c>
      <c r="C35" s="72">
        <v>0</v>
      </c>
      <c r="D35" s="72"/>
      <c r="E35" s="72">
        <f t="shared" si="0"/>
        <v>2339000</v>
      </c>
      <c r="F35" s="71" t="s">
        <v>85</v>
      </c>
    </row>
    <row r="36" spans="1:6" ht="21" customHeight="1">
      <c r="A36" s="11">
        <v>46100</v>
      </c>
      <c r="B36" s="71" t="s">
        <v>88</v>
      </c>
      <c r="C36" s="72">
        <v>0</v>
      </c>
      <c r="D36" s="72"/>
      <c r="E36" s="72">
        <f t="shared" si="0"/>
        <v>2339000</v>
      </c>
      <c r="F36" s="71" t="s">
        <v>85</v>
      </c>
    </row>
    <row r="37" spans="1:6" ht="21" customHeight="1">
      <c r="A37" s="11">
        <v>46101</v>
      </c>
      <c r="B37" s="71" t="s">
        <v>89</v>
      </c>
      <c r="C37" s="72">
        <v>0</v>
      </c>
      <c r="D37" s="72"/>
      <c r="E37" s="72">
        <f t="shared" si="0"/>
        <v>2339000</v>
      </c>
      <c r="F37" s="71" t="s">
        <v>85</v>
      </c>
    </row>
    <row r="38" spans="1:6" ht="21" customHeight="1">
      <c r="A38" s="11">
        <v>46101</v>
      </c>
      <c r="B38" s="71" t="s">
        <v>90</v>
      </c>
      <c r="C38" s="72"/>
      <c r="D38" s="72">
        <v>100000</v>
      </c>
      <c r="E38" s="72">
        <f t="shared" si="0"/>
        <v>2239000</v>
      </c>
      <c r="F38" s="71"/>
    </row>
    <row r="39" spans="1:6" ht="21" customHeight="1">
      <c r="A39" s="11">
        <v>46101</v>
      </c>
      <c r="B39" s="71" t="s">
        <v>91</v>
      </c>
      <c r="C39" s="72"/>
      <c r="D39" s="72">
        <v>250000</v>
      </c>
      <c r="E39" s="72">
        <f t="shared" si="0"/>
        <v>1989000</v>
      </c>
      <c r="F39" s="71"/>
    </row>
    <row r="40" spans="1:6" ht="21" customHeight="1">
      <c r="A40" s="11">
        <v>46111</v>
      </c>
      <c r="B40" s="71" t="s">
        <v>92</v>
      </c>
      <c r="C40" s="72"/>
      <c r="D40" s="72">
        <v>300000</v>
      </c>
      <c r="E40" s="72">
        <f t="shared" si="0"/>
        <v>1689000</v>
      </c>
      <c r="F40" s="71"/>
    </row>
    <row r="41" spans="1:6" ht="21" customHeight="1">
      <c r="A41" s="93" t="s">
        <v>93</v>
      </c>
      <c r="B41" s="93"/>
      <c r="C41" s="73">
        <f>SUM(C5:C40)</f>
        <v>2564000</v>
      </c>
      <c r="D41" s="73">
        <f>SUM(D5:D40)</f>
        <v>875000</v>
      </c>
      <c r="E41" s="73">
        <f>C41-D41</f>
        <v>1689000</v>
      </c>
      <c r="F41" s="71"/>
    </row>
  </sheetData>
  <mergeCells count="3">
    <mergeCell ref="A1:F1"/>
    <mergeCell ref="A2:F2"/>
    <mergeCell ref="A41:B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36"/>
  <sheetViews>
    <sheetView view="pageBreakPreview" zoomScaleNormal="100" workbookViewId="0">
      <pane ySplit="3" topLeftCell="A4" activePane="bottomLeft" state="frozen"/>
      <selection activeCell="A24" sqref="A24:XFD24"/>
      <selection pane="bottomLeft" activeCell="A24" sqref="A24:XFD24"/>
    </sheetView>
  </sheetViews>
  <sheetFormatPr defaultColWidth="9.140625" defaultRowHeight="15"/>
  <cols>
    <col min="1" max="1" width="18.140625" style="23" customWidth="1"/>
    <col min="2" max="2" width="62.85546875" style="24" customWidth="1"/>
    <col min="3" max="4" width="19" style="25" customWidth="1"/>
    <col min="5" max="5" width="19" style="26" customWidth="1"/>
    <col min="6" max="6" width="4" style="24" customWidth="1"/>
    <col min="7" max="7" width="13.140625" style="24" customWidth="1"/>
    <col min="8" max="8" width="9.7109375" style="24" customWidth="1"/>
    <col min="9" max="16384" width="9.140625" style="24"/>
  </cols>
  <sheetData>
    <row r="1" spans="1:7" ht="18.75">
      <c r="A1" s="87" t="s">
        <v>0</v>
      </c>
      <c r="B1" s="87"/>
      <c r="C1" s="88"/>
      <c r="D1" s="88"/>
      <c r="E1" s="87"/>
    </row>
    <row r="2" spans="1:7" ht="18.75">
      <c r="A2" s="27" t="s">
        <v>94</v>
      </c>
      <c r="B2" s="28"/>
      <c r="C2" s="29"/>
      <c r="D2" s="29"/>
      <c r="E2" s="30"/>
    </row>
    <row r="3" spans="1:7" s="17" customFormat="1" ht="18.95" customHeight="1">
      <c r="A3" s="31" t="s">
        <v>2</v>
      </c>
      <c r="B3" s="32" t="s">
        <v>3</v>
      </c>
      <c r="C3" s="33" t="s">
        <v>4</v>
      </c>
      <c r="D3" s="33" t="s">
        <v>5</v>
      </c>
      <c r="E3" s="34" t="s">
        <v>6</v>
      </c>
    </row>
    <row r="4" spans="1:7" s="18" customFormat="1" ht="18.95" customHeight="1">
      <c r="A4" s="85" t="s">
        <v>95</v>
      </c>
      <c r="B4" s="85"/>
      <c r="C4" s="35">
        <f>'Feb''26'!E17</f>
        <v>3998000</v>
      </c>
      <c r="D4" s="36"/>
      <c r="E4" s="37">
        <f>C4-F4</f>
        <v>3998000</v>
      </c>
    </row>
    <row r="5" spans="1:7" s="19" customFormat="1" ht="18.95" customHeight="1">
      <c r="A5" s="11">
        <v>46082</v>
      </c>
      <c r="B5" s="38" t="s">
        <v>96</v>
      </c>
      <c r="C5" s="9"/>
      <c r="D5" s="39">
        <v>52000</v>
      </c>
      <c r="E5" s="40">
        <f>E4+C5-D5</f>
        <v>3946000</v>
      </c>
      <c r="G5" s="41"/>
    </row>
    <row r="6" spans="1:7" s="20" customFormat="1" ht="18.95" customHeight="1">
      <c r="A6" s="11">
        <v>46083</v>
      </c>
      <c r="B6" s="38" t="s">
        <v>13</v>
      </c>
      <c r="C6" s="9">
        <v>110000</v>
      </c>
      <c r="D6" s="9"/>
      <c r="E6" s="40">
        <f t="shared" ref="E6:E14" si="0">E5+C6-D6</f>
        <v>4056000</v>
      </c>
      <c r="G6" s="42"/>
    </row>
    <row r="7" spans="1:7" s="20" customFormat="1" ht="18.95" customHeight="1">
      <c r="A7" s="82">
        <v>46084</v>
      </c>
      <c r="B7" s="38" t="s">
        <v>13</v>
      </c>
      <c r="C7" s="9">
        <v>97000</v>
      </c>
      <c r="D7" s="9"/>
      <c r="E7" s="40">
        <f t="shared" si="0"/>
        <v>4153000</v>
      </c>
      <c r="G7" s="42"/>
    </row>
    <row r="8" spans="1:7" s="20" customFormat="1" ht="18.95" customHeight="1">
      <c r="A8" s="83"/>
      <c r="B8" s="8" t="s">
        <v>97</v>
      </c>
      <c r="C8" s="9"/>
      <c r="D8" s="9">
        <v>50000</v>
      </c>
      <c r="E8" s="40">
        <f t="shared" si="0"/>
        <v>4103000</v>
      </c>
      <c r="G8" s="42"/>
    </row>
    <row r="9" spans="1:7" s="20" customFormat="1" ht="18.95" customHeight="1">
      <c r="A9" s="11">
        <v>46085</v>
      </c>
      <c r="B9" s="8" t="s">
        <v>98</v>
      </c>
      <c r="C9" s="9"/>
      <c r="D9" s="9">
        <v>25000</v>
      </c>
      <c r="E9" s="40">
        <f t="shared" si="0"/>
        <v>4078000</v>
      </c>
      <c r="G9" s="42"/>
    </row>
    <row r="10" spans="1:7" s="20" customFormat="1" ht="18.95" customHeight="1">
      <c r="A10" s="11">
        <v>46086</v>
      </c>
      <c r="B10" s="8" t="s">
        <v>11</v>
      </c>
      <c r="C10" s="9"/>
      <c r="D10" s="9">
        <v>53000</v>
      </c>
      <c r="E10" s="40">
        <f t="shared" si="0"/>
        <v>4025000</v>
      </c>
      <c r="G10" s="42"/>
    </row>
    <row r="11" spans="1:7" s="20" customFormat="1" ht="18.95" customHeight="1">
      <c r="A11" s="11">
        <v>46092</v>
      </c>
      <c r="B11" s="8" t="s">
        <v>99</v>
      </c>
      <c r="C11" s="9"/>
      <c r="D11" s="9">
        <v>250000</v>
      </c>
      <c r="E11" s="40">
        <f t="shared" si="0"/>
        <v>3775000</v>
      </c>
      <c r="G11" s="42"/>
    </row>
    <row r="12" spans="1:7" s="20" customFormat="1" ht="18.95" customHeight="1">
      <c r="A12" s="11">
        <v>46095</v>
      </c>
      <c r="B12" s="8" t="s">
        <v>100</v>
      </c>
      <c r="C12" s="9">
        <v>250000</v>
      </c>
      <c r="D12" s="9"/>
      <c r="E12" s="40">
        <f t="shared" si="0"/>
        <v>4025000</v>
      </c>
      <c r="G12" s="42"/>
    </row>
    <row r="13" spans="1:7" s="20" customFormat="1" ht="18.95" customHeight="1">
      <c r="A13" s="82">
        <v>46096</v>
      </c>
      <c r="B13" s="8" t="s">
        <v>101</v>
      </c>
      <c r="C13" s="9"/>
      <c r="D13" s="9">
        <v>45000</v>
      </c>
      <c r="E13" s="40">
        <f t="shared" si="0"/>
        <v>3980000</v>
      </c>
      <c r="G13" s="42"/>
    </row>
    <row r="14" spans="1:7" s="20" customFormat="1" ht="18.95" customHeight="1">
      <c r="A14" s="83"/>
      <c r="B14" s="8" t="s">
        <v>13</v>
      </c>
      <c r="C14" s="9">
        <v>701000</v>
      </c>
      <c r="D14" s="9"/>
      <c r="E14" s="40">
        <f t="shared" si="0"/>
        <v>4681000</v>
      </c>
      <c r="G14" s="42"/>
    </row>
    <row r="15" spans="1:7" s="20" customFormat="1" ht="18.95" customHeight="1">
      <c r="A15" s="86">
        <v>46101</v>
      </c>
      <c r="B15" s="8" t="s">
        <v>102</v>
      </c>
      <c r="C15" s="9"/>
      <c r="D15" s="9">
        <v>50000</v>
      </c>
      <c r="E15" s="40">
        <f t="shared" ref="E15:E24" si="1">E14+C15-D15</f>
        <v>4631000</v>
      </c>
      <c r="G15" s="42"/>
    </row>
    <row r="16" spans="1:7" s="20" customFormat="1" ht="18.95" customHeight="1">
      <c r="A16" s="86"/>
      <c r="B16" s="8" t="s">
        <v>103</v>
      </c>
      <c r="C16" s="9">
        <v>1689000</v>
      </c>
      <c r="D16" s="9"/>
      <c r="E16" s="40">
        <f t="shared" si="1"/>
        <v>6320000</v>
      </c>
      <c r="G16" s="42"/>
    </row>
    <row r="17" spans="1:256" s="20" customFormat="1" ht="18.95" customHeight="1">
      <c r="A17" s="84">
        <v>46107</v>
      </c>
      <c r="B17" s="8" t="s">
        <v>104</v>
      </c>
      <c r="C17" s="9"/>
      <c r="D17" s="9">
        <v>20000</v>
      </c>
      <c r="E17" s="40">
        <f t="shared" si="1"/>
        <v>6300000</v>
      </c>
      <c r="G17" s="42"/>
    </row>
    <row r="18" spans="1:256" s="20" customFormat="1" ht="18.95" customHeight="1">
      <c r="A18" s="84"/>
      <c r="B18" s="8" t="s">
        <v>105</v>
      </c>
      <c r="C18" s="9"/>
      <c r="D18" s="9">
        <v>40000</v>
      </c>
      <c r="E18" s="40">
        <f t="shared" si="1"/>
        <v>6260000</v>
      </c>
      <c r="G18" s="42"/>
    </row>
    <row r="19" spans="1:256" s="20" customFormat="1" ht="18.95" customHeight="1">
      <c r="A19" s="83"/>
      <c r="B19" s="8" t="s">
        <v>106</v>
      </c>
      <c r="C19" s="9"/>
      <c r="D19" s="9">
        <v>2000000</v>
      </c>
      <c r="E19" s="40">
        <f t="shared" si="1"/>
        <v>4260000</v>
      </c>
      <c r="G19" s="42" t="s">
        <v>107</v>
      </c>
    </row>
    <row r="20" spans="1:256" s="20" customFormat="1" ht="18.95" customHeight="1">
      <c r="A20" s="84">
        <v>46109</v>
      </c>
      <c r="B20" s="8" t="s">
        <v>108</v>
      </c>
      <c r="C20" s="9"/>
      <c r="D20" s="9">
        <v>24000</v>
      </c>
      <c r="E20" s="40">
        <f t="shared" si="1"/>
        <v>4236000</v>
      </c>
      <c r="G20" s="44">
        <v>126000</v>
      </c>
      <c r="H20" s="45" t="s">
        <v>22</v>
      </c>
    </row>
    <row r="21" spans="1:256" s="20" customFormat="1" ht="18.95" customHeight="1">
      <c r="A21" s="83"/>
      <c r="B21" s="8" t="s">
        <v>104</v>
      </c>
      <c r="C21" s="9"/>
      <c r="D21" s="9">
        <v>36000</v>
      </c>
      <c r="E21" s="40">
        <f t="shared" si="1"/>
        <v>4200000</v>
      </c>
      <c r="G21" s="44">
        <v>932000</v>
      </c>
      <c r="H21" s="45" t="s">
        <v>22</v>
      </c>
    </row>
    <row r="22" spans="1:256" s="20" customFormat="1" ht="18.95" customHeight="1">
      <c r="A22" s="11">
        <v>46110</v>
      </c>
      <c r="B22" s="8" t="s">
        <v>11</v>
      </c>
      <c r="C22" s="9"/>
      <c r="D22" s="9">
        <v>44500</v>
      </c>
      <c r="E22" s="40">
        <f t="shared" si="1"/>
        <v>4155500</v>
      </c>
      <c r="G22" s="44">
        <v>257000</v>
      </c>
      <c r="H22" s="45" t="s">
        <v>22</v>
      </c>
    </row>
    <row r="23" spans="1:256" s="20" customFormat="1" ht="18.95" customHeight="1">
      <c r="A23" s="82">
        <v>46112</v>
      </c>
      <c r="B23" s="8" t="s">
        <v>109</v>
      </c>
      <c r="C23" s="9">
        <v>700000</v>
      </c>
      <c r="D23" s="9"/>
      <c r="E23" s="40">
        <f t="shared" si="1"/>
        <v>4855500</v>
      </c>
      <c r="G23" s="44">
        <v>1400000</v>
      </c>
      <c r="H23" s="45" t="s">
        <v>25</v>
      </c>
    </row>
    <row r="24" spans="1:256" s="20" customFormat="1" ht="18.95" customHeight="1">
      <c r="A24" s="83"/>
      <c r="B24" s="8" t="s">
        <v>110</v>
      </c>
      <c r="C24" s="9">
        <v>300000</v>
      </c>
      <c r="D24" s="9"/>
      <c r="E24" s="40">
        <f t="shared" si="1"/>
        <v>5155500</v>
      </c>
      <c r="G24" s="44">
        <v>250000</v>
      </c>
      <c r="H24" s="45" t="s">
        <v>26</v>
      </c>
    </row>
    <row r="25" spans="1:256" s="21" customFormat="1" ht="18.95" customHeight="1">
      <c r="A25" s="89" t="s">
        <v>111</v>
      </c>
      <c r="B25" s="89"/>
      <c r="C25" s="46">
        <f>SUM(C4:C24)</f>
        <v>7845000</v>
      </c>
      <c r="D25" s="46">
        <f>SUM(D4:D24)</f>
        <v>2689500</v>
      </c>
      <c r="E25" s="37">
        <f>C25-D25</f>
        <v>5155500</v>
      </c>
      <c r="G25" s="44">
        <f>SUM(G20:G24)</f>
        <v>2965000</v>
      </c>
      <c r="H25" s="47"/>
    </row>
    <row r="26" spans="1:256" s="22" customFormat="1" ht="8.1" customHeight="1">
      <c r="A26" s="48"/>
      <c r="C26" s="49"/>
      <c r="D26" s="49"/>
      <c r="E26" s="50"/>
    </row>
    <row r="27" spans="1:256" s="22" customFormat="1" ht="18.95" customHeight="1">
      <c r="A27" s="90" t="s">
        <v>112</v>
      </c>
      <c r="B27" s="90"/>
      <c r="C27" s="51">
        <f>C25-C4</f>
        <v>3847000</v>
      </c>
      <c r="D27" s="49"/>
      <c r="E27" s="50"/>
      <c r="G27" s="52">
        <f>E25-G25</f>
        <v>2190500</v>
      </c>
    </row>
    <row r="28" spans="1:256" s="22" customFormat="1" ht="6" customHeight="1">
      <c r="A28" s="53"/>
      <c r="B28" s="53"/>
      <c r="C28" s="25"/>
      <c r="D28" s="49"/>
      <c r="E28" s="50"/>
    </row>
    <row r="29" spans="1:256" s="22" customFormat="1" ht="18.95" customHeight="1">
      <c r="A29" s="91" t="s">
        <v>113</v>
      </c>
      <c r="B29" s="91"/>
      <c r="C29" s="54">
        <f>D25</f>
        <v>2689500</v>
      </c>
      <c r="D29" s="49"/>
      <c r="E29" s="50"/>
    </row>
    <row r="30" spans="1:256" ht="8.1" customHeight="1">
      <c r="A30" s="55"/>
      <c r="D30" s="56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</row>
    <row r="31" spans="1:256">
      <c r="A31" s="55"/>
      <c r="D31" s="56" t="s">
        <v>114</v>
      </c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</row>
    <row r="32" spans="1:256">
      <c r="A32" s="58" t="s">
        <v>31</v>
      </c>
      <c r="D32" s="25" t="s">
        <v>32</v>
      </c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</row>
    <row r="33" spans="1:256">
      <c r="A33" s="58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</row>
    <row r="34" spans="1:256">
      <c r="A34" s="58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7"/>
      <c r="FS34" s="57"/>
      <c r="FT34" s="57"/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  <c r="GL34" s="57"/>
      <c r="GM34" s="57"/>
      <c r="GN34" s="57"/>
      <c r="GO34" s="57"/>
      <c r="GP34" s="57"/>
      <c r="GQ34" s="57"/>
      <c r="GR34" s="57"/>
      <c r="GS34" s="57"/>
      <c r="GT34" s="57"/>
      <c r="GU34" s="57"/>
      <c r="GV34" s="57"/>
      <c r="GW34" s="57"/>
      <c r="GX34" s="57"/>
      <c r="GY34" s="57"/>
      <c r="GZ34" s="57"/>
      <c r="HA34" s="57"/>
      <c r="HB34" s="57"/>
      <c r="HC34" s="57"/>
      <c r="HD34" s="57"/>
      <c r="HE34" s="57"/>
      <c r="HF34" s="57"/>
      <c r="HG34" s="57"/>
      <c r="HH34" s="57"/>
      <c r="HI34" s="57"/>
      <c r="HJ34" s="57"/>
      <c r="HK34" s="57"/>
      <c r="HL34" s="57"/>
      <c r="HM34" s="57"/>
      <c r="HN34" s="57"/>
      <c r="HO34" s="57"/>
      <c r="HP34" s="57"/>
      <c r="HQ34" s="57"/>
      <c r="HR34" s="57"/>
      <c r="HS34" s="57"/>
      <c r="HT34" s="57"/>
      <c r="HU34" s="57"/>
      <c r="HV34" s="57"/>
      <c r="HW34" s="57"/>
      <c r="HX34" s="57"/>
      <c r="HY34" s="57"/>
      <c r="HZ34" s="57"/>
      <c r="IA34" s="57"/>
      <c r="IB34" s="57"/>
      <c r="IC34" s="57"/>
      <c r="ID34" s="57"/>
      <c r="IE34" s="57"/>
      <c r="IF34" s="57"/>
      <c r="IG34" s="57"/>
      <c r="IH34" s="57"/>
      <c r="II34" s="57"/>
      <c r="IJ34" s="57"/>
      <c r="IK34" s="57"/>
      <c r="IL34" s="57"/>
      <c r="IM34" s="57"/>
      <c r="IN34" s="57"/>
      <c r="IO34" s="57"/>
      <c r="IP34" s="57"/>
      <c r="IQ34" s="57"/>
      <c r="IR34" s="57"/>
      <c r="IS34" s="57"/>
      <c r="IT34" s="57"/>
      <c r="IU34" s="57"/>
      <c r="IV34" s="57"/>
    </row>
    <row r="35" spans="1:256" ht="17.25">
      <c r="A35" s="59" t="s">
        <v>33</v>
      </c>
      <c r="D35" s="60" t="s">
        <v>34</v>
      </c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/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</row>
    <row r="36" spans="1:256">
      <c r="A36" s="58" t="s">
        <v>35</v>
      </c>
      <c r="D36" s="25" t="s">
        <v>36</v>
      </c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/>
      <c r="GY36" s="57"/>
      <c r="GZ36" s="57"/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</row>
  </sheetData>
  <mergeCells count="11">
    <mergeCell ref="A1:E1"/>
    <mergeCell ref="A4:B4"/>
    <mergeCell ref="A25:B25"/>
    <mergeCell ref="A27:B27"/>
    <mergeCell ref="A29:B29"/>
    <mergeCell ref="A7:A8"/>
    <mergeCell ref="A13:A14"/>
    <mergeCell ref="A15:A16"/>
    <mergeCell ref="A17:A19"/>
    <mergeCell ref="A20:A21"/>
    <mergeCell ref="A23:A24"/>
  </mergeCells>
  <pageMargins left="0.75" right="0.75" top="0.4" bottom="0.3" header="0.5" footer="0.5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26"/>
  <sheetViews>
    <sheetView workbookViewId="0">
      <pane ySplit="3" topLeftCell="A4" activePane="bottomLeft" state="frozen"/>
      <selection activeCell="A24" sqref="A24:XFD24"/>
      <selection pane="bottomLeft" activeCell="A24" sqref="A24:XFD24"/>
    </sheetView>
  </sheetViews>
  <sheetFormatPr defaultColWidth="9.140625" defaultRowHeight="15"/>
  <cols>
    <col min="1" max="1" width="17.5703125" style="23" customWidth="1"/>
    <col min="2" max="2" width="62.85546875" style="24" customWidth="1"/>
    <col min="3" max="4" width="17.42578125" style="25" customWidth="1"/>
    <col min="5" max="5" width="17.42578125" style="26" customWidth="1"/>
    <col min="6" max="6" width="4" style="24" customWidth="1"/>
    <col min="7" max="7" width="14.7109375" style="24" customWidth="1"/>
    <col min="8" max="8" width="10.42578125" style="24" customWidth="1"/>
    <col min="9" max="16384" width="9.140625" style="24"/>
  </cols>
  <sheetData>
    <row r="1" spans="1:8" ht="18" customHeight="1">
      <c r="A1" s="87" t="s">
        <v>0</v>
      </c>
      <c r="B1" s="87"/>
      <c r="C1" s="88"/>
      <c r="D1" s="88"/>
      <c r="E1" s="87"/>
    </row>
    <row r="2" spans="1:8" ht="18" customHeight="1">
      <c r="A2" s="27" t="s">
        <v>115</v>
      </c>
      <c r="B2" s="28"/>
      <c r="C2" s="29"/>
      <c r="D2" s="29"/>
      <c r="E2" s="30"/>
    </row>
    <row r="3" spans="1:8" s="17" customFormat="1" ht="18" customHeight="1">
      <c r="A3" s="31" t="s">
        <v>2</v>
      </c>
      <c r="B3" s="32" t="s">
        <v>3</v>
      </c>
      <c r="C3" s="33" t="s">
        <v>4</v>
      </c>
      <c r="D3" s="33" t="s">
        <v>5</v>
      </c>
      <c r="E3" s="34" t="s">
        <v>6</v>
      </c>
    </row>
    <row r="4" spans="1:8" s="18" customFormat="1" ht="18" customHeight="1">
      <c r="A4" s="85" t="s">
        <v>116</v>
      </c>
      <c r="B4" s="85"/>
      <c r="C4" s="35">
        <f>'Mar''26'!E25</f>
        <v>5155500</v>
      </c>
      <c r="D4" s="36"/>
      <c r="E4" s="37">
        <f>C4-F4</f>
        <v>5155500</v>
      </c>
    </row>
    <row r="5" spans="1:8" s="19" customFormat="1" ht="21" customHeight="1">
      <c r="A5" s="11">
        <v>46114</v>
      </c>
      <c r="B5" s="38" t="s">
        <v>13</v>
      </c>
      <c r="C5" s="9">
        <v>110000</v>
      </c>
      <c r="D5" s="39"/>
      <c r="E5" s="40">
        <f>E4+C5-D5</f>
        <v>5265500</v>
      </c>
      <c r="G5" s="41"/>
    </row>
    <row r="6" spans="1:8" s="20" customFormat="1" ht="21" customHeight="1">
      <c r="A6" s="11">
        <v>46118</v>
      </c>
      <c r="B6" s="38" t="s">
        <v>117</v>
      </c>
      <c r="C6" s="9"/>
      <c r="D6" s="9">
        <v>250000</v>
      </c>
      <c r="E6" s="40">
        <f t="shared" ref="E6:E14" si="0">E5+C6-D6</f>
        <v>5015500</v>
      </c>
      <c r="G6" s="42"/>
    </row>
    <row r="7" spans="1:8" s="20" customFormat="1" ht="21" customHeight="1">
      <c r="A7" s="11">
        <v>46122</v>
      </c>
      <c r="B7" s="38" t="s">
        <v>11</v>
      </c>
      <c r="C7" s="9"/>
      <c r="D7" s="9">
        <v>46500</v>
      </c>
      <c r="E7" s="40">
        <f t="shared" si="0"/>
        <v>4969000</v>
      </c>
      <c r="G7" s="42"/>
    </row>
    <row r="8" spans="1:8" s="20" customFormat="1" ht="21" customHeight="1">
      <c r="A8" s="11">
        <v>46130</v>
      </c>
      <c r="B8" s="8" t="s">
        <v>13</v>
      </c>
      <c r="C8" s="9">
        <v>1080000</v>
      </c>
      <c r="D8" s="9"/>
      <c r="E8" s="40">
        <f t="shared" si="0"/>
        <v>6049000</v>
      </c>
      <c r="G8" s="42"/>
    </row>
    <row r="9" spans="1:8" s="20" customFormat="1" ht="21" customHeight="1">
      <c r="A9" s="11">
        <v>46131</v>
      </c>
      <c r="B9" s="8" t="s">
        <v>11</v>
      </c>
      <c r="C9" s="9"/>
      <c r="D9" s="9">
        <v>55500</v>
      </c>
      <c r="E9" s="40">
        <f t="shared" si="0"/>
        <v>5993500</v>
      </c>
      <c r="G9" s="42"/>
    </row>
    <row r="10" spans="1:8" s="20" customFormat="1" ht="21" customHeight="1">
      <c r="A10" s="82">
        <v>46132</v>
      </c>
      <c r="B10" s="8" t="s">
        <v>118</v>
      </c>
      <c r="C10" s="9">
        <v>250000</v>
      </c>
      <c r="D10" s="9"/>
      <c r="E10" s="40">
        <f t="shared" si="0"/>
        <v>6243500</v>
      </c>
      <c r="G10" s="44">
        <v>126000</v>
      </c>
      <c r="H10" s="45" t="s">
        <v>22</v>
      </c>
    </row>
    <row r="11" spans="1:8" s="20" customFormat="1" ht="21" customHeight="1">
      <c r="A11" s="83"/>
      <c r="B11" s="8" t="s">
        <v>98</v>
      </c>
      <c r="C11" s="9"/>
      <c r="D11" s="9">
        <v>60000</v>
      </c>
      <c r="E11" s="40">
        <f t="shared" si="0"/>
        <v>6183500</v>
      </c>
      <c r="G11" s="44">
        <v>932000</v>
      </c>
      <c r="H11" s="45" t="s">
        <v>22</v>
      </c>
    </row>
    <row r="12" spans="1:8" s="20" customFormat="1" ht="21" customHeight="1">
      <c r="A12" s="11">
        <v>46134</v>
      </c>
      <c r="B12" s="8" t="s">
        <v>119</v>
      </c>
      <c r="C12" s="9"/>
      <c r="D12" s="9">
        <v>200000</v>
      </c>
      <c r="E12" s="40">
        <f t="shared" si="0"/>
        <v>5983500</v>
      </c>
      <c r="G12" s="44">
        <v>257000</v>
      </c>
      <c r="H12" s="45" t="s">
        <v>22</v>
      </c>
    </row>
    <row r="13" spans="1:8" s="20" customFormat="1" ht="21" customHeight="1">
      <c r="A13" s="11">
        <v>46136</v>
      </c>
      <c r="B13" s="8" t="s">
        <v>13</v>
      </c>
      <c r="C13" s="9">
        <v>189000</v>
      </c>
      <c r="D13" s="9"/>
      <c r="E13" s="40">
        <f t="shared" si="0"/>
        <v>6172500</v>
      </c>
      <c r="G13" s="44">
        <v>1400000</v>
      </c>
      <c r="H13" s="45" t="s">
        <v>25</v>
      </c>
    </row>
    <row r="14" spans="1:8" s="20" customFormat="1" ht="21" customHeight="1">
      <c r="A14" s="11">
        <v>46140</v>
      </c>
      <c r="B14" s="8" t="s">
        <v>120</v>
      </c>
      <c r="C14" s="9"/>
      <c r="D14" s="9">
        <v>140000</v>
      </c>
      <c r="E14" s="40">
        <f t="shared" si="0"/>
        <v>6032500</v>
      </c>
      <c r="G14" s="44">
        <v>250000</v>
      </c>
      <c r="H14" s="45" t="s">
        <v>26</v>
      </c>
    </row>
    <row r="15" spans="1:8" s="21" customFormat="1" ht="17.25" customHeight="1">
      <c r="A15" s="89" t="s">
        <v>121</v>
      </c>
      <c r="B15" s="89"/>
      <c r="C15" s="46">
        <f>SUM(C4:C14)</f>
        <v>6784500</v>
      </c>
      <c r="D15" s="46">
        <f>SUM(D4:D14)</f>
        <v>752000</v>
      </c>
      <c r="E15" s="37">
        <f>C15-D15</f>
        <v>6032500</v>
      </c>
      <c r="G15" s="44">
        <f>SUM(G10:G14)</f>
        <v>2965000</v>
      </c>
      <c r="H15" s="47"/>
    </row>
    <row r="16" spans="1:8" s="22" customFormat="1" ht="6.75" customHeight="1">
      <c r="A16" s="48"/>
      <c r="C16" s="49"/>
      <c r="D16" s="49"/>
      <c r="E16" s="50"/>
    </row>
    <row r="17" spans="1:256" s="22" customFormat="1" ht="17.25" customHeight="1">
      <c r="A17" s="90" t="s">
        <v>122</v>
      </c>
      <c r="B17" s="90"/>
      <c r="C17" s="51">
        <f>C15-C4</f>
        <v>1629000</v>
      </c>
      <c r="D17" s="49"/>
      <c r="E17" s="50"/>
      <c r="G17" s="52">
        <f>E15-G15</f>
        <v>3067500</v>
      </c>
    </row>
    <row r="18" spans="1:256" s="22" customFormat="1" ht="5.25" customHeight="1">
      <c r="A18" s="53"/>
      <c r="B18" s="53"/>
      <c r="C18" s="25"/>
      <c r="D18" s="49"/>
      <c r="E18" s="50"/>
    </row>
    <row r="19" spans="1:256" s="22" customFormat="1" ht="17.25" customHeight="1">
      <c r="A19" s="91" t="s">
        <v>123</v>
      </c>
      <c r="B19" s="91"/>
      <c r="C19" s="54">
        <f>D15</f>
        <v>752000</v>
      </c>
      <c r="D19" s="49"/>
      <c r="E19" s="50"/>
    </row>
    <row r="20" spans="1:256" ht="24" customHeight="1">
      <c r="A20" s="55"/>
      <c r="D20" s="56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</row>
    <row r="21" spans="1:256">
      <c r="A21" s="55"/>
      <c r="D21" s="56" t="s">
        <v>124</v>
      </c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HY21" s="57"/>
      <c r="HZ21" s="57"/>
      <c r="IA21" s="57"/>
      <c r="IB21" s="57"/>
      <c r="IC21" s="57"/>
      <c r="ID21" s="57"/>
      <c r="IE21" s="57"/>
      <c r="IF21" s="57"/>
      <c r="IG21" s="57"/>
      <c r="IH21" s="57"/>
      <c r="II21" s="57"/>
      <c r="IJ21" s="57"/>
      <c r="IK21" s="57"/>
      <c r="IL21" s="57"/>
      <c r="IM21" s="57"/>
      <c r="IN21" s="57"/>
      <c r="IO21" s="57"/>
      <c r="IP21" s="57"/>
      <c r="IQ21" s="57"/>
      <c r="IR21" s="57"/>
      <c r="IS21" s="57"/>
      <c r="IT21" s="57"/>
      <c r="IU21" s="57"/>
      <c r="IV21" s="57"/>
    </row>
    <row r="22" spans="1:256">
      <c r="A22" s="58" t="s">
        <v>31</v>
      </c>
      <c r="D22" s="25" t="s">
        <v>32</v>
      </c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  <c r="HO22" s="57"/>
      <c r="HP22" s="57"/>
      <c r="HQ22" s="57"/>
      <c r="HR22" s="57"/>
      <c r="HS22" s="57"/>
      <c r="HT22" s="57"/>
      <c r="HU22" s="57"/>
      <c r="HV22" s="57"/>
      <c r="HW22" s="57"/>
      <c r="HX22" s="57"/>
      <c r="HY22" s="57"/>
      <c r="HZ22" s="57"/>
      <c r="IA22" s="57"/>
      <c r="IB22" s="57"/>
      <c r="IC22" s="57"/>
      <c r="ID22" s="57"/>
      <c r="IE22" s="57"/>
      <c r="IF22" s="57"/>
      <c r="IG22" s="57"/>
      <c r="IH22" s="57"/>
      <c r="II22" s="57"/>
      <c r="IJ22" s="57"/>
      <c r="IK22" s="57"/>
      <c r="IL22" s="57"/>
      <c r="IM22" s="57"/>
      <c r="IN22" s="57"/>
      <c r="IO22" s="57"/>
      <c r="IP22" s="57"/>
      <c r="IQ22" s="57"/>
      <c r="IR22" s="57"/>
      <c r="IS22" s="57"/>
      <c r="IT22" s="57"/>
      <c r="IU22" s="57"/>
      <c r="IV22" s="57"/>
    </row>
    <row r="23" spans="1:256">
      <c r="A23" s="58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/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/>
      <c r="IO23" s="57"/>
      <c r="IP23" s="57"/>
      <c r="IQ23" s="57"/>
      <c r="IR23" s="57"/>
      <c r="IS23" s="57"/>
      <c r="IT23" s="57"/>
      <c r="IU23" s="57"/>
      <c r="IV23" s="57"/>
    </row>
    <row r="24" spans="1:256">
      <c r="A24" s="58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</row>
    <row r="25" spans="1:256" ht="17.25">
      <c r="A25" s="59" t="s">
        <v>33</v>
      </c>
      <c r="D25" s="60" t="s">
        <v>34</v>
      </c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</row>
    <row r="26" spans="1:256">
      <c r="A26" s="58" t="s">
        <v>35</v>
      </c>
      <c r="D26" s="25" t="s">
        <v>36</v>
      </c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7"/>
      <c r="FO26" s="57"/>
      <c r="FP26" s="57"/>
      <c r="FQ26" s="57"/>
      <c r="FR26" s="57"/>
      <c r="FS26" s="57"/>
      <c r="FT26" s="57"/>
      <c r="FU26" s="57"/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  <c r="GL26" s="57"/>
      <c r="GM26" s="57"/>
      <c r="GN26" s="57"/>
      <c r="GO26" s="57"/>
      <c r="GP26" s="57"/>
      <c r="GQ26" s="57"/>
      <c r="GR26" s="57"/>
      <c r="GS26" s="57"/>
      <c r="GT26" s="57"/>
      <c r="GU26" s="57"/>
      <c r="GV26" s="57"/>
      <c r="GW26" s="57"/>
      <c r="GX26" s="57"/>
      <c r="GY26" s="57"/>
      <c r="GZ26" s="57"/>
      <c r="HA26" s="57"/>
      <c r="HB26" s="57"/>
      <c r="HC26" s="57"/>
      <c r="HD26" s="57"/>
      <c r="HE26" s="57"/>
      <c r="HF26" s="57"/>
      <c r="HG26" s="57"/>
      <c r="HH26" s="57"/>
      <c r="HI26" s="57"/>
      <c r="HJ26" s="57"/>
      <c r="HK26" s="57"/>
      <c r="HL26" s="57"/>
      <c r="HM26" s="57"/>
      <c r="HN26" s="57"/>
      <c r="HO26" s="57"/>
      <c r="HP26" s="57"/>
      <c r="HQ26" s="57"/>
      <c r="HR26" s="57"/>
      <c r="HS26" s="57"/>
      <c r="HT26" s="57"/>
      <c r="HU26" s="57"/>
      <c r="HV26" s="57"/>
      <c r="HW26" s="57"/>
      <c r="HX26" s="57"/>
      <c r="HY26" s="57"/>
      <c r="HZ26" s="57"/>
      <c r="IA26" s="57"/>
      <c r="IB26" s="57"/>
      <c r="IC26" s="57"/>
      <c r="ID26" s="57"/>
      <c r="IE26" s="57"/>
      <c r="IF26" s="57"/>
      <c r="IG26" s="57"/>
      <c r="IH26" s="57"/>
      <c r="II26" s="57"/>
      <c r="IJ26" s="57"/>
      <c r="IK26" s="57"/>
      <c r="IL26" s="57"/>
      <c r="IM26" s="57"/>
      <c r="IN26" s="57"/>
      <c r="IO26" s="57"/>
      <c r="IP26" s="57"/>
      <c r="IQ26" s="57"/>
      <c r="IR26" s="57"/>
      <c r="IS26" s="57"/>
      <c r="IT26" s="57"/>
      <c r="IU26" s="57"/>
      <c r="IV26" s="57"/>
    </row>
  </sheetData>
  <mergeCells count="6">
    <mergeCell ref="A1:E1"/>
    <mergeCell ref="A4:B4"/>
    <mergeCell ref="A15:B15"/>
    <mergeCell ref="A17:B17"/>
    <mergeCell ref="A19:B19"/>
    <mergeCell ref="A10:A11"/>
  </mergeCells>
  <pageMargins left="0.35433070866141703" right="0.35433070866141703" top="0.78740157480314998" bottom="0.78740157480314998" header="0.511811023622047" footer="0.511811023622047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33"/>
  <sheetViews>
    <sheetView zoomScaleSheetLayoutView="80" workbookViewId="0">
      <pane ySplit="3" topLeftCell="A4" activePane="bottomLeft" state="frozen"/>
      <selection activeCell="A24" sqref="A24:XFD24"/>
      <selection pane="bottomLeft" activeCell="A24" sqref="A24:XFD24"/>
    </sheetView>
  </sheetViews>
  <sheetFormatPr defaultColWidth="9.140625" defaultRowHeight="15"/>
  <cols>
    <col min="1" max="1" width="17.5703125" style="23" customWidth="1"/>
    <col min="2" max="2" width="62.85546875" style="24" customWidth="1"/>
    <col min="3" max="4" width="17.42578125" style="25" customWidth="1"/>
    <col min="5" max="5" width="17.42578125" style="26" customWidth="1"/>
    <col min="6" max="6" width="4" style="24" customWidth="1"/>
    <col min="7" max="7" width="13.140625" style="24" customWidth="1"/>
    <col min="8" max="8" width="9.7109375" style="24" customWidth="1"/>
    <col min="9" max="16384" width="9.140625" style="24"/>
  </cols>
  <sheetData>
    <row r="1" spans="1:7" ht="18" customHeight="1">
      <c r="A1" s="87" t="s">
        <v>0</v>
      </c>
      <c r="B1" s="87"/>
      <c r="C1" s="88"/>
      <c r="D1" s="88"/>
      <c r="E1" s="87"/>
    </row>
    <row r="2" spans="1:7" ht="18" customHeight="1">
      <c r="A2" s="27" t="s">
        <v>125</v>
      </c>
      <c r="B2" s="28"/>
      <c r="C2" s="29"/>
      <c r="D2" s="29"/>
      <c r="E2" s="30"/>
    </row>
    <row r="3" spans="1:7" s="17" customFormat="1" ht="18" customHeight="1">
      <c r="A3" s="31" t="s">
        <v>2</v>
      </c>
      <c r="B3" s="32" t="s">
        <v>3</v>
      </c>
      <c r="C3" s="33" t="s">
        <v>4</v>
      </c>
      <c r="D3" s="33" t="s">
        <v>5</v>
      </c>
      <c r="E3" s="34" t="s">
        <v>6</v>
      </c>
    </row>
    <row r="4" spans="1:7" s="18" customFormat="1" ht="18" customHeight="1">
      <c r="A4" s="85" t="s">
        <v>126</v>
      </c>
      <c r="B4" s="85"/>
      <c r="C4" s="35">
        <f>'Apr''26'!E15</f>
        <v>6032500</v>
      </c>
      <c r="D4" s="36"/>
      <c r="E4" s="37">
        <f>C4-F4</f>
        <v>6032500</v>
      </c>
    </row>
    <row r="5" spans="1:7" s="19" customFormat="1" ht="21" customHeight="1">
      <c r="A5" s="11">
        <v>46144</v>
      </c>
      <c r="B5" s="38" t="s">
        <v>13</v>
      </c>
      <c r="C5" s="9">
        <v>110000</v>
      </c>
      <c r="D5" s="39"/>
      <c r="E5" s="40">
        <f t="shared" ref="E5:E21" si="0">E4+C5-D5</f>
        <v>6142500</v>
      </c>
      <c r="G5" s="41"/>
    </row>
    <row r="6" spans="1:7" s="20" customFormat="1" ht="21" customHeight="1">
      <c r="A6" s="82">
        <v>46145</v>
      </c>
      <c r="B6" s="8" t="s">
        <v>127</v>
      </c>
      <c r="C6" s="9">
        <v>700000</v>
      </c>
      <c r="D6" s="9"/>
      <c r="E6" s="40">
        <f t="shared" si="0"/>
        <v>6842500</v>
      </c>
      <c r="G6" s="42"/>
    </row>
    <row r="7" spans="1:7" s="20" customFormat="1" ht="21" customHeight="1">
      <c r="A7" s="83"/>
      <c r="B7" s="8" t="s">
        <v>128</v>
      </c>
      <c r="C7" s="9">
        <v>480000</v>
      </c>
      <c r="D7" s="9"/>
      <c r="E7" s="40">
        <f t="shared" si="0"/>
        <v>7322500</v>
      </c>
      <c r="G7" s="42"/>
    </row>
    <row r="8" spans="1:7" s="20" customFormat="1" ht="21" customHeight="1">
      <c r="A8" s="11">
        <v>46147</v>
      </c>
      <c r="B8" s="8" t="s">
        <v>129</v>
      </c>
      <c r="C8" s="9"/>
      <c r="D8" s="9">
        <v>57000</v>
      </c>
      <c r="E8" s="40">
        <f t="shared" si="0"/>
        <v>7265500</v>
      </c>
      <c r="G8" s="42"/>
    </row>
    <row r="9" spans="1:7" s="20" customFormat="1" ht="21" customHeight="1">
      <c r="A9" s="82">
        <v>46148</v>
      </c>
      <c r="B9" s="8" t="s">
        <v>130</v>
      </c>
      <c r="C9" s="9"/>
      <c r="D9" s="9">
        <v>916000</v>
      </c>
      <c r="E9" s="40">
        <f t="shared" si="0"/>
        <v>6349500</v>
      </c>
      <c r="G9" s="42"/>
    </row>
    <row r="10" spans="1:7" s="20" customFormat="1" ht="21" customHeight="1">
      <c r="A10" s="83"/>
      <c r="B10" s="8" t="s">
        <v>11</v>
      </c>
      <c r="C10" s="9"/>
      <c r="D10" s="9">
        <v>42500</v>
      </c>
      <c r="E10" s="40">
        <f t="shared" si="0"/>
        <v>6307000</v>
      </c>
      <c r="G10" s="42"/>
    </row>
    <row r="11" spans="1:7" s="20" customFormat="1" ht="21" customHeight="1">
      <c r="A11" s="82">
        <v>46151</v>
      </c>
      <c r="B11" s="8" t="s">
        <v>131</v>
      </c>
      <c r="C11" s="9"/>
      <c r="D11" s="9">
        <v>100000</v>
      </c>
      <c r="E11" s="40">
        <f t="shared" si="0"/>
        <v>6207000</v>
      </c>
      <c r="G11" s="42"/>
    </row>
    <row r="12" spans="1:7" s="20" customFormat="1" ht="21" customHeight="1">
      <c r="A12" s="83"/>
      <c r="B12" s="8" t="s">
        <v>132</v>
      </c>
      <c r="C12" s="9"/>
      <c r="D12" s="9">
        <v>20000</v>
      </c>
      <c r="E12" s="40">
        <f t="shared" si="0"/>
        <v>6187000</v>
      </c>
      <c r="G12" s="42"/>
    </row>
    <row r="13" spans="1:7" s="20" customFormat="1" ht="21" customHeight="1">
      <c r="A13" s="11">
        <v>46154</v>
      </c>
      <c r="B13" s="8" t="s">
        <v>129</v>
      </c>
      <c r="C13" s="9"/>
      <c r="D13" s="9">
        <v>34000</v>
      </c>
      <c r="E13" s="40">
        <f t="shared" si="0"/>
        <v>6153000</v>
      </c>
      <c r="G13" s="42"/>
    </row>
    <row r="14" spans="1:7" s="20" customFormat="1" ht="21" customHeight="1">
      <c r="A14" s="82">
        <v>46155</v>
      </c>
      <c r="B14" s="8" t="s">
        <v>133</v>
      </c>
      <c r="C14" s="9"/>
      <c r="D14" s="9">
        <v>250000</v>
      </c>
      <c r="E14" s="40">
        <f t="shared" si="0"/>
        <v>5903000</v>
      </c>
      <c r="G14" s="42"/>
    </row>
    <row r="15" spans="1:7" s="20" customFormat="1" ht="21" customHeight="1">
      <c r="A15" s="83"/>
      <c r="B15" s="8" t="s">
        <v>134</v>
      </c>
      <c r="C15" s="9"/>
      <c r="D15" s="9">
        <v>1000000</v>
      </c>
      <c r="E15" s="40">
        <f t="shared" si="0"/>
        <v>4903000</v>
      </c>
      <c r="G15" s="42"/>
    </row>
    <row r="16" spans="1:7" s="20" customFormat="1" ht="21" customHeight="1">
      <c r="A16" s="82">
        <v>46158</v>
      </c>
      <c r="B16" s="8" t="s">
        <v>13</v>
      </c>
      <c r="C16" s="9">
        <v>1045000</v>
      </c>
      <c r="D16" s="9"/>
      <c r="E16" s="40">
        <f t="shared" si="0"/>
        <v>5948000</v>
      </c>
    </row>
    <row r="17" spans="1:256" s="20" customFormat="1" ht="21" customHeight="1">
      <c r="A17" s="83"/>
      <c r="B17" s="8" t="s">
        <v>135</v>
      </c>
      <c r="C17" s="9">
        <v>250000</v>
      </c>
      <c r="D17" s="9"/>
      <c r="E17" s="40">
        <f t="shared" si="0"/>
        <v>6198000</v>
      </c>
      <c r="G17" s="44">
        <v>126000</v>
      </c>
      <c r="H17" s="45" t="s">
        <v>22</v>
      </c>
    </row>
    <row r="18" spans="1:256" s="20" customFormat="1" ht="21" customHeight="1">
      <c r="A18" s="11">
        <v>46160</v>
      </c>
      <c r="B18" s="8" t="s">
        <v>13</v>
      </c>
      <c r="C18" s="9">
        <v>100000</v>
      </c>
      <c r="D18" s="9"/>
      <c r="E18" s="40">
        <f t="shared" si="0"/>
        <v>6298000</v>
      </c>
      <c r="G18" s="44">
        <v>932000</v>
      </c>
      <c r="H18" s="45" t="s">
        <v>22</v>
      </c>
    </row>
    <row r="19" spans="1:256" s="20" customFormat="1" ht="21" customHeight="1">
      <c r="A19" s="11">
        <v>46162</v>
      </c>
      <c r="B19" s="8" t="s">
        <v>129</v>
      </c>
      <c r="C19" s="9"/>
      <c r="D19" s="9">
        <v>25000</v>
      </c>
      <c r="E19" s="40">
        <f t="shared" si="0"/>
        <v>6273000</v>
      </c>
      <c r="G19" s="44">
        <v>257000</v>
      </c>
      <c r="H19" s="45" t="s">
        <v>22</v>
      </c>
    </row>
    <row r="20" spans="1:256" s="20" customFormat="1" ht="21" customHeight="1">
      <c r="A20" s="82">
        <v>46165</v>
      </c>
      <c r="B20" s="8" t="s">
        <v>11</v>
      </c>
      <c r="C20" s="9"/>
      <c r="D20" s="9">
        <v>51000</v>
      </c>
      <c r="E20" s="40">
        <f t="shared" si="0"/>
        <v>6222000</v>
      </c>
      <c r="G20" s="44">
        <v>1400000</v>
      </c>
      <c r="H20" s="45" t="s">
        <v>25</v>
      </c>
    </row>
    <row r="21" spans="1:256" s="20" customFormat="1" ht="21" customHeight="1">
      <c r="A21" s="83"/>
      <c r="B21" s="8" t="s">
        <v>13</v>
      </c>
      <c r="C21" s="9">
        <v>115000</v>
      </c>
      <c r="D21" s="9"/>
      <c r="E21" s="40">
        <f t="shared" si="0"/>
        <v>6337000</v>
      </c>
      <c r="G21" s="44">
        <v>250000</v>
      </c>
      <c r="H21" s="45" t="s">
        <v>26</v>
      </c>
    </row>
    <row r="22" spans="1:256" s="21" customFormat="1" ht="17.25" customHeight="1">
      <c r="A22" s="89" t="s">
        <v>136</v>
      </c>
      <c r="B22" s="89"/>
      <c r="C22" s="46">
        <f>SUM(C4:C21)</f>
        <v>8832500</v>
      </c>
      <c r="D22" s="46">
        <f>SUM(D4:D21)</f>
        <v>2495500</v>
      </c>
      <c r="E22" s="37">
        <f>C22-D22</f>
        <v>6337000</v>
      </c>
      <c r="G22" s="44">
        <f>SUM(G17:G21)</f>
        <v>2965000</v>
      </c>
      <c r="H22" s="47"/>
    </row>
    <row r="23" spans="1:256" s="22" customFormat="1" ht="6.75" customHeight="1">
      <c r="A23" s="48"/>
      <c r="C23" s="49"/>
      <c r="D23" s="49"/>
      <c r="E23" s="50"/>
    </row>
    <row r="24" spans="1:256" s="22" customFormat="1" ht="17.25" customHeight="1">
      <c r="A24" s="90" t="s">
        <v>137</v>
      </c>
      <c r="B24" s="90"/>
      <c r="C24" s="51">
        <f>C22-C4</f>
        <v>2800000</v>
      </c>
      <c r="D24" s="49"/>
      <c r="E24" s="50"/>
      <c r="G24" s="52">
        <f>E22-G22</f>
        <v>3372000</v>
      </c>
    </row>
    <row r="25" spans="1:256" s="22" customFormat="1" ht="5.25" customHeight="1">
      <c r="A25" s="53"/>
      <c r="B25" s="53"/>
      <c r="C25" s="25"/>
      <c r="D25" s="49"/>
      <c r="E25" s="50"/>
    </row>
    <row r="26" spans="1:256" s="22" customFormat="1" ht="17.25" customHeight="1">
      <c r="A26" s="91" t="s">
        <v>138</v>
      </c>
      <c r="B26" s="91"/>
      <c r="C26" s="54">
        <f>D22</f>
        <v>2495500</v>
      </c>
      <c r="D26" s="49"/>
      <c r="E26" s="50"/>
    </row>
    <row r="27" spans="1:256" ht="7.5" customHeight="1">
      <c r="A27" s="55"/>
      <c r="D27" s="56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57"/>
      <c r="FJ27" s="57"/>
      <c r="FK27" s="57"/>
      <c r="FL27" s="57"/>
      <c r="FM27" s="57"/>
      <c r="FN27" s="57"/>
      <c r="FO27" s="57"/>
      <c r="FP27" s="57"/>
      <c r="FQ27" s="57"/>
      <c r="FR27" s="57"/>
      <c r="FS27" s="57"/>
      <c r="FT27" s="57"/>
      <c r="FU27" s="57"/>
      <c r="FV27" s="57"/>
      <c r="FW27" s="57"/>
      <c r="FX27" s="57"/>
      <c r="FY27" s="57"/>
      <c r="FZ27" s="57"/>
      <c r="GA27" s="57"/>
      <c r="GB27" s="57"/>
      <c r="GC27" s="57"/>
      <c r="GD27" s="57"/>
      <c r="GE27" s="57"/>
      <c r="GF27" s="57"/>
      <c r="GG27" s="57"/>
      <c r="GH27" s="57"/>
      <c r="GI27" s="57"/>
      <c r="GJ27" s="57"/>
      <c r="GK27" s="57"/>
      <c r="GL27" s="57"/>
      <c r="GM27" s="57"/>
      <c r="GN27" s="57"/>
      <c r="GO27" s="57"/>
      <c r="GP27" s="57"/>
      <c r="GQ27" s="57"/>
      <c r="GR27" s="57"/>
      <c r="GS27" s="57"/>
      <c r="GT27" s="57"/>
      <c r="GU27" s="57"/>
      <c r="GV27" s="57"/>
      <c r="GW27" s="57"/>
      <c r="GX27" s="57"/>
      <c r="GY27" s="57"/>
      <c r="GZ27" s="57"/>
      <c r="HA27" s="57"/>
      <c r="HB27" s="57"/>
      <c r="HC27" s="57"/>
      <c r="HD27" s="57"/>
      <c r="HE27" s="57"/>
      <c r="HF27" s="57"/>
      <c r="HG27" s="57"/>
      <c r="HH27" s="57"/>
      <c r="HI27" s="57"/>
      <c r="HJ27" s="57"/>
      <c r="HK27" s="57"/>
      <c r="HL27" s="57"/>
      <c r="HM27" s="57"/>
      <c r="HN27" s="57"/>
      <c r="HO27" s="57"/>
      <c r="HP27" s="57"/>
      <c r="HQ27" s="57"/>
      <c r="HR27" s="57"/>
      <c r="HS27" s="57"/>
      <c r="HT27" s="57"/>
      <c r="HU27" s="57"/>
      <c r="HV27" s="57"/>
      <c r="HW27" s="57"/>
      <c r="HX27" s="57"/>
      <c r="HY27" s="57"/>
      <c r="HZ27" s="57"/>
      <c r="IA27" s="57"/>
      <c r="IB27" s="57"/>
      <c r="IC27" s="57"/>
      <c r="ID27" s="57"/>
      <c r="IE27" s="57"/>
      <c r="IF27" s="57"/>
      <c r="IG27" s="57"/>
      <c r="IH27" s="57"/>
      <c r="II27" s="57"/>
      <c r="IJ27" s="57"/>
      <c r="IK27" s="57"/>
      <c r="IL27" s="57"/>
      <c r="IM27" s="57"/>
      <c r="IN27" s="57"/>
      <c r="IO27" s="57"/>
      <c r="IP27" s="57"/>
      <c r="IQ27" s="57"/>
      <c r="IR27" s="57"/>
      <c r="IS27" s="57"/>
      <c r="IT27" s="57"/>
      <c r="IU27" s="57"/>
      <c r="IV27" s="57"/>
    </row>
    <row r="28" spans="1:256">
      <c r="A28" s="55"/>
      <c r="D28" s="56" t="s">
        <v>139</v>
      </c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</row>
    <row r="29" spans="1:256">
      <c r="A29" s="58" t="s">
        <v>31</v>
      </c>
      <c r="D29" s="25" t="s">
        <v>32</v>
      </c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  <c r="IM29" s="57"/>
      <c r="IN29" s="57"/>
      <c r="IO29" s="57"/>
      <c r="IP29" s="57"/>
      <c r="IQ29" s="57"/>
      <c r="IR29" s="57"/>
      <c r="IS29" s="57"/>
      <c r="IT29" s="57"/>
      <c r="IU29" s="57"/>
      <c r="IV29" s="57"/>
    </row>
    <row r="30" spans="1:256">
      <c r="A30" s="58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</row>
    <row r="31" spans="1:256">
      <c r="A31" s="58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</row>
    <row r="32" spans="1:256" ht="17.25">
      <c r="A32" s="59" t="s">
        <v>140</v>
      </c>
      <c r="D32" s="60" t="s">
        <v>34</v>
      </c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</row>
    <row r="33" spans="1:256">
      <c r="A33" s="58" t="s">
        <v>141</v>
      </c>
      <c r="D33" s="25" t="s">
        <v>142</v>
      </c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</row>
  </sheetData>
  <mergeCells count="11">
    <mergeCell ref="A1:E1"/>
    <mergeCell ref="A4:B4"/>
    <mergeCell ref="A22:B22"/>
    <mergeCell ref="A24:B24"/>
    <mergeCell ref="A26:B26"/>
    <mergeCell ref="A6:A7"/>
    <mergeCell ref="A9:A10"/>
    <mergeCell ref="A11:A12"/>
    <mergeCell ref="A14:A15"/>
    <mergeCell ref="A16:A17"/>
    <mergeCell ref="A20:A21"/>
  </mergeCells>
  <pageMargins left="0.74803149606299202" right="0.35433070866141703" top="0.2" bottom="0.196850393700787" header="0.511811023622047" footer="0.511811023622047"/>
  <pageSetup paperSize="9" scale="9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42"/>
  <sheetViews>
    <sheetView view="pageBreakPreview" zoomScale="90" zoomScaleNormal="100" zoomScaleSheetLayoutView="90" workbookViewId="0">
      <pane xSplit="1" ySplit="4" topLeftCell="B14" activePane="bottomRight" state="frozen"/>
      <selection activeCell="A24" sqref="A24:XFD24"/>
      <selection pane="topRight" activeCell="A24" sqref="A24:XFD24"/>
      <selection pane="bottomLeft" activeCell="A24" sqref="A24:XFD24"/>
      <selection pane="bottomRight" activeCell="A24" sqref="A24:XFD24"/>
    </sheetView>
  </sheetViews>
  <sheetFormatPr defaultColWidth="9.140625" defaultRowHeight="15"/>
  <cols>
    <col min="1" max="1" width="17.5703125" style="23" customWidth="1"/>
    <col min="2" max="2" width="67.42578125" style="24" customWidth="1"/>
    <col min="3" max="4" width="17.42578125" style="25" customWidth="1"/>
    <col min="5" max="5" width="17.42578125" style="26" customWidth="1"/>
    <col min="6" max="6" width="4" style="24" customWidth="1"/>
    <col min="7" max="7" width="13.140625" style="24" customWidth="1"/>
    <col min="8" max="8" width="9.7109375" style="24" customWidth="1"/>
    <col min="9" max="16384" width="9.140625" style="24"/>
  </cols>
  <sheetData>
    <row r="1" spans="1:8" ht="18" customHeight="1">
      <c r="A1" s="87" t="s">
        <v>0</v>
      </c>
      <c r="B1" s="87"/>
      <c r="C1" s="88"/>
      <c r="D1" s="88"/>
      <c r="E1" s="87"/>
    </row>
    <row r="2" spans="1:8" ht="18" customHeight="1">
      <c r="A2" s="27" t="s">
        <v>143</v>
      </c>
      <c r="B2" s="28"/>
      <c r="C2" s="29"/>
      <c r="D2" s="29"/>
      <c r="E2" s="30"/>
    </row>
    <row r="3" spans="1:8" s="17" customFormat="1" ht="18" customHeight="1">
      <c r="A3" s="31" t="s">
        <v>2</v>
      </c>
      <c r="B3" s="32" t="s">
        <v>3</v>
      </c>
      <c r="C3" s="33" t="s">
        <v>4</v>
      </c>
      <c r="D3" s="33" t="s">
        <v>5</v>
      </c>
      <c r="E3" s="34" t="s">
        <v>6</v>
      </c>
    </row>
    <row r="4" spans="1:8" s="18" customFormat="1" ht="18" customHeight="1">
      <c r="A4" s="85" t="s">
        <v>144</v>
      </c>
      <c r="B4" s="85"/>
      <c r="C4" s="35">
        <f>'Mei''26'!E22</f>
        <v>6337000</v>
      </c>
      <c r="D4" s="36"/>
      <c r="E4" s="37">
        <f>C4-F4</f>
        <v>6337000</v>
      </c>
    </row>
    <row r="5" spans="1:8" s="19" customFormat="1" ht="21" customHeight="1">
      <c r="A5" s="77">
        <v>46175</v>
      </c>
      <c r="B5" s="8" t="s">
        <v>145</v>
      </c>
      <c r="C5" s="9">
        <v>700000</v>
      </c>
      <c r="D5" s="39"/>
      <c r="E5" s="40">
        <f t="shared" ref="E5:E28" si="0">E4+C5-D5</f>
        <v>7037000</v>
      </c>
      <c r="G5" s="41"/>
    </row>
    <row r="6" spans="1:8" s="20" customFormat="1" ht="21" customHeight="1">
      <c r="A6" s="78"/>
      <c r="B6" s="8" t="s">
        <v>146</v>
      </c>
      <c r="C6" s="9">
        <v>460000</v>
      </c>
      <c r="D6" s="9"/>
      <c r="E6" s="40">
        <f t="shared" si="0"/>
        <v>7497000</v>
      </c>
      <c r="G6" s="42"/>
    </row>
    <row r="7" spans="1:8" s="20" customFormat="1" ht="21" customHeight="1">
      <c r="A7" s="61"/>
      <c r="B7" s="8" t="s">
        <v>13</v>
      </c>
      <c r="C7" s="9">
        <v>150000</v>
      </c>
      <c r="D7" s="9"/>
      <c r="E7" s="40">
        <f t="shared" si="0"/>
        <v>7647000</v>
      </c>
      <c r="G7" s="42"/>
    </row>
    <row r="8" spans="1:8" s="20" customFormat="1" ht="21" customHeight="1">
      <c r="A8" s="63">
        <v>46176</v>
      </c>
      <c r="B8" s="8" t="s">
        <v>11</v>
      </c>
      <c r="C8" s="9"/>
      <c r="D8" s="9">
        <v>42500</v>
      </c>
      <c r="E8" s="40">
        <f t="shared" si="0"/>
        <v>7604500</v>
      </c>
      <c r="G8" s="42"/>
    </row>
    <row r="9" spans="1:8" s="20" customFormat="1" ht="21" customHeight="1">
      <c r="A9" s="63">
        <v>46177</v>
      </c>
      <c r="B9" s="8" t="s">
        <v>13</v>
      </c>
      <c r="C9" s="9">
        <v>110000</v>
      </c>
      <c r="D9" s="9"/>
      <c r="E9" s="40">
        <f t="shared" si="0"/>
        <v>7714500</v>
      </c>
    </row>
    <row r="10" spans="1:8" s="20" customFormat="1" ht="21" customHeight="1">
      <c r="A10" s="63">
        <v>46178</v>
      </c>
      <c r="B10" s="8" t="s">
        <v>129</v>
      </c>
      <c r="C10" s="9"/>
      <c r="D10" s="9">
        <v>18000</v>
      </c>
      <c r="E10" s="40">
        <f t="shared" si="0"/>
        <v>7696500</v>
      </c>
    </row>
    <row r="11" spans="1:8" s="20" customFormat="1" ht="21" customHeight="1">
      <c r="A11" s="11">
        <v>46180</v>
      </c>
      <c r="B11" s="8" t="s">
        <v>13</v>
      </c>
      <c r="C11" s="9">
        <v>204000</v>
      </c>
      <c r="D11" s="9"/>
      <c r="E11" s="40">
        <f t="shared" si="0"/>
        <v>7900500</v>
      </c>
    </row>
    <row r="12" spans="1:8" s="20" customFormat="1" ht="21" customHeight="1">
      <c r="A12" s="64">
        <v>46182</v>
      </c>
      <c r="B12" s="8" t="s">
        <v>147</v>
      </c>
      <c r="C12" s="9"/>
      <c r="D12" s="9">
        <v>250000</v>
      </c>
      <c r="E12" s="40">
        <f t="shared" si="0"/>
        <v>7650500</v>
      </c>
    </row>
    <row r="13" spans="1:8" s="20" customFormat="1" ht="21" customHeight="1">
      <c r="A13" s="43">
        <v>46183</v>
      </c>
      <c r="B13" s="8" t="s">
        <v>148</v>
      </c>
      <c r="C13" s="9">
        <v>200000</v>
      </c>
      <c r="D13" s="9"/>
      <c r="E13" s="40">
        <f t="shared" si="0"/>
        <v>7850500</v>
      </c>
      <c r="G13" s="62"/>
      <c r="H13" s="45"/>
    </row>
    <row r="14" spans="1:8" s="20" customFormat="1" ht="21" customHeight="1">
      <c r="A14" s="43"/>
      <c r="B14" s="8" t="s">
        <v>149</v>
      </c>
      <c r="C14" s="9">
        <v>230000</v>
      </c>
      <c r="D14" s="9"/>
      <c r="E14" s="40">
        <f t="shared" si="0"/>
        <v>8080500</v>
      </c>
      <c r="G14" s="62"/>
      <c r="H14" s="45"/>
    </row>
    <row r="15" spans="1:8" s="20" customFormat="1" ht="21" customHeight="1">
      <c r="A15" s="43"/>
      <c r="B15" s="8" t="s">
        <v>150</v>
      </c>
      <c r="C15" s="9">
        <v>250000</v>
      </c>
      <c r="D15" s="9"/>
      <c r="E15" s="40">
        <f t="shared" si="0"/>
        <v>8330500</v>
      </c>
      <c r="G15" s="62"/>
      <c r="H15" s="45"/>
    </row>
    <row r="16" spans="1:8" s="20" customFormat="1" ht="21" customHeight="1">
      <c r="A16" s="43"/>
      <c r="B16" s="8" t="s">
        <v>151</v>
      </c>
      <c r="C16" s="9">
        <v>225000</v>
      </c>
      <c r="D16" s="9"/>
      <c r="E16" s="40">
        <f t="shared" si="0"/>
        <v>8555500</v>
      </c>
      <c r="G16" s="62"/>
      <c r="H16" s="45"/>
    </row>
    <row r="17" spans="1:8" s="20" customFormat="1" ht="21" customHeight="1">
      <c r="A17" s="43"/>
      <c r="B17" s="8" t="s">
        <v>152</v>
      </c>
      <c r="C17" s="9">
        <v>350000</v>
      </c>
      <c r="D17" s="9"/>
      <c r="E17" s="40">
        <f t="shared" si="0"/>
        <v>8905500</v>
      </c>
      <c r="G17" s="62"/>
      <c r="H17" s="45"/>
    </row>
    <row r="18" spans="1:8" s="20" customFormat="1" ht="21" customHeight="1">
      <c r="A18" s="43"/>
      <c r="B18" s="8" t="s">
        <v>153</v>
      </c>
      <c r="C18" s="9">
        <v>230000</v>
      </c>
      <c r="D18" s="9"/>
      <c r="E18" s="40">
        <f t="shared" si="0"/>
        <v>9135500</v>
      </c>
      <c r="G18" s="62"/>
      <c r="H18" s="45"/>
    </row>
    <row r="19" spans="1:8" s="20" customFormat="1" ht="21" customHeight="1">
      <c r="A19" s="43"/>
      <c r="B19" s="8" t="s">
        <v>154</v>
      </c>
      <c r="C19" s="9">
        <v>370000</v>
      </c>
      <c r="D19" s="9"/>
      <c r="E19" s="40">
        <f t="shared" si="0"/>
        <v>9505500</v>
      </c>
      <c r="G19" s="62"/>
      <c r="H19" s="45"/>
    </row>
    <row r="20" spans="1:8" s="20" customFormat="1" ht="21" customHeight="1">
      <c r="A20" s="11">
        <v>46186</v>
      </c>
      <c r="B20" s="12" t="s">
        <v>155</v>
      </c>
      <c r="C20" s="9"/>
      <c r="D20" s="9">
        <v>60000</v>
      </c>
      <c r="E20" s="40">
        <f t="shared" si="0"/>
        <v>9445500</v>
      </c>
      <c r="G20" s="62"/>
      <c r="H20" s="45"/>
    </row>
    <row r="21" spans="1:8" s="20" customFormat="1" ht="21" customHeight="1">
      <c r="A21" s="11">
        <v>46187</v>
      </c>
      <c r="B21" s="12" t="s">
        <v>13</v>
      </c>
      <c r="C21" s="9">
        <v>250000</v>
      </c>
      <c r="D21" s="9"/>
      <c r="E21" s="40">
        <f t="shared" si="0"/>
        <v>9695500</v>
      </c>
      <c r="G21" s="62"/>
      <c r="H21" s="45"/>
    </row>
    <row r="22" spans="1:8" s="20" customFormat="1" ht="21" customHeight="1">
      <c r="A22" s="11">
        <v>46191</v>
      </c>
      <c r="B22" s="12" t="s">
        <v>13</v>
      </c>
      <c r="C22" s="9">
        <v>100000</v>
      </c>
      <c r="D22" s="9"/>
      <c r="E22" s="40">
        <f t="shared" si="0"/>
        <v>9795500</v>
      </c>
      <c r="G22" s="62"/>
      <c r="H22" s="45"/>
    </row>
    <row r="23" spans="1:8" s="20" customFormat="1" ht="21" customHeight="1">
      <c r="A23" s="11">
        <v>46193</v>
      </c>
      <c r="B23" s="12" t="s">
        <v>156</v>
      </c>
      <c r="C23" s="9"/>
      <c r="D23" s="9">
        <v>26000</v>
      </c>
      <c r="E23" s="40">
        <f t="shared" si="0"/>
        <v>9769500</v>
      </c>
      <c r="G23" s="62">
        <v>132000</v>
      </c>
      <c r="H23" s="45" t="s">
        <v>157</v>
      </c>
    </row>
    <row r="24" spans="1:8" s="20" customFormat="1" ht="21" customHeight="1">
      <c r="A24" s="11">
        <v>46196</v>
      </c>
      <c r="B24" s="12" t="s">
        <v>158</v>
      </c>
      <c r="C24" s="9"/>
      <c r="D24" s="9">
        <v>2300000</v>
      </c>
      <c r="E24" s="40">
        <f t="shared" si="0"/>
        <v>7469500</v>
      </c>
      <c r="G24" s="62">
        <v>126000</v>
      </c>
      <c r="H24" s="45" t="s">
        <v>22</v>
      </c>
    </row>
    <row r="25" spans="1:8" s="20" customFormat="1" ht="21" customHeight="1">
      <c r="A25" s="11">
        <v>46197</v>
      </c>
      <c r="B25" s="12" t="s">
        <v>159</v>
      </c>
      <c r="C25" s="9"/>
      <c r="D25" s="9">
        <v>25500</v>
      </c>
      <c r="E25" s="40">
        <f t="shared" si="0"/>
        <v>7444000</v>
      </c>
      <c r="G25" s="62">
        <v>932000</v>
      </c>
      <c r="H25" s="45" t="s">
        <v>22</v>
      </c>
    </row>
    <row r="26" spans="1:8" s="20" customFormat="1" ht="21" customHeight="1">
      <c r="A26" s="63">
        <v>46200</v>
      </c>
      <c r="B26" s="12" t="s">
        <v>13</v>
      </c>
      <c r="C26" s="9">
        <v>990000</v>
      </c>
      <c r="D26" s="9"/>
      <c r="E26" s="40">
        <f t="shared" si="0"/>
        <v>8434000</v>
      </c>
      <c r="G26" s="62">
        <v>257000</v>
      </c>
      <c r="H26" s="45" t="s">
        <v>22</v>
      </c>
    </row>
    <row r="27" spans="1:8" s="20" customFormat="1" ht="21" customHeight="1">
      <c r="A27" s="77">
        <v>46203</v>
      </c>
      <c r="B27" s="8" t="s">
        <v>160</v>
      </c>
      <c r="C27" s="9">
        <v>700000</v>
      </c>
      <c r="D27" s="9"/>
      <c r="E27" s="40">
        <f t="shared" si="0"/>
        <v>9134000</v>
      </c>
      <c r="G27" s="62">
        <v>1400000</v>
      </c>
      <c r="H27" s="45" t="s">
        <v>25</v>
      </c>
    </row>
    <row r="28" spans="1:8" s="20" customFormat="1" ht="21" customHeight="1">
      <c r="A28" s="61"/>
      <c r="B28" s="8" t="s">
        <v>161</v>
      </c>
      <c r="C28" s="9">
        <v>500000</v>
      </c>
      <c r="D28" s="9"/>
      <c r="E28" s="40">
        <f t="shared" si="0"/>
        <v>9634000</v>
      </c>
      <c r="G28" s="62">
        <v>250000</v>
      </c>
      <c r="H28" s="45" t="s">
        <v>26</v>
      </c>
    </row>
    <row r="29" spans="1:8" s="20" customFormat="1" ht="21" customHeight="1">
      <c r="A29" s="89" t="s">
        <v>162</v>
      </c>
      <c r="B29" s="89"/>
      <c r="C29" s="46">
        <f>SUM(C4:C28)</f>
        <v>12356000</v>
      </c>
      <c r="D29" s="46">
        <f>SUM(D4:D28)</f>
        <v>2722000</v>
      </c>
      <c r="E29" s="37">
        <f>C29-D29</f>
        <v>9634000</v>
      </c>
      <c r="G29" s="65">
        <f>SUM(G23:G28)</f>
        <v>3097000</v>
      </c>
      <c r="H29" s="47"/>
    </row>
    <row r="30" spans="1:8" s="20" customFormat="1" ht="4.5" customHeight="1">
      <c r="A30" s="48"/>
      <c r="B30" s="22"/>
      <c r="C30" s="49"/>
      <c r="D30" s="49"/>
      <c r="E30" s="50"/>
    </row>
    <row r="31" spans="1:8" s="21" customFormat="1" ht="17.25" customHeight="1">
      <c r="A31" s="90" t="s">
        <v>163</v>
      </c>
      <c r="B31" s="90"/>
      <c r="C31" s="51">
        <f>C29-C4</f>
        <v>6019000</v>
      </c>
      <c r="D31" s="49"/>
      <c r="E31" s="50"/>
      <c r="G31" s="52">
        <f>E29-G29</f>
        <v>6537000</v>
      </c>
    </row>
    <row r="32" spans="1:8" s="22" customFormat="1" ht="6.75" customHeight="1">
      <c r="A32" s="53"/>
      <c r="B32" s="53"/>
      <c r="C32" s="25"/>
      <c r="D32" s="49"/>
      <c r="E32" s="50"/>
    </row>
    <row r="33" spans="1:256" s="22" customFormat="1" ht="17.25" customHeight="1">
      <c r="A33" s="91" t="s">
        <v>164</v>
      </c>
      <c r="B33" s="91"/>
      <c r="C33" s="54">
        <f>D29</f>
        <v>2722000</v>
      </c>
      <c r="D33" s="49"/>
      <c r="E33" s="50"/>
    </row>
    <row r="34" spans="1:256" s="22" customFormat="1" ht="5.25" customHeight="1">
      <c r="A34" s="55"/>
      <c r="B34" s="24"/>
      <c r="C34" s="25"/>
      <c r="D34" s="56"/>
      <c r="E34" s="26"/>
    </row>
    <row r="35" spans="1:256" s="22" customFormat="1" ht="17.25" customHeight="1">
      <c r="A35" s="55"/>
      <c r="B35" s="24"/>
      <c r="C35" s="25"/>
      <c r="D35" s="56" t="s">
        <v>165</v>
      </c>
      <c r="E35" s="26"/>
    </row>
    <row r="36" spans="1:256" ht="24" customHeight="1">
      <c r="A36" s="58" t="s">
        <v>31</v>
      </c>
      <c r="D36" s="25" t="s">
        <v>32</v>
      </c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/>
      <c r="GY36" s="57"/>
      <c r="GZ36" s="57"/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</row>
    <row r="37" spans="1:256">
      <c r="A37" s="58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  <c r="GL37" s="57"/>
      <c r="GM37" s="57"/>
      <c r="GN37" s="57"/>
      <c r="GO37" s="57"/>
      <c r="GP37" s="57"/>
      <c r="GQ37" s="57"/>
      <c r="GR37" s="57"/>
      <c r="GS37" s="57"/>
      <c r="GT37" s="57"/>
      <c r="GU37" s="57"/>
      <c r="GV37" s="57"/>
      <c r="GW37" s="57"/>
      <c r="GX37" s="57"/>
      <c r="GY37" s="57"/>
      <c r="GZ37" s="57"/>
      <c r="HA37" s="57"/>
      <c r="HB37" s="57"/>
      <c r="HC37" s="57"/>
      <c r="HD37" s="57"/>
      <c r="HE37" s="57"/>
      <c r="HF37" s="57"/>
      <c r="HG37" s="57"/>
      <c r="HH37" s="57"/>
      <c r="HI37" s="57"/>
      <c r="HJ37" s="57"/>
      <c r="HK37" s="57"/>
      <c r="HL37" s="57"/>
      <c r="HM37" s="57"/>
      <c r="HN37" s="57"/>
      <c r="HO37" s="57"/>
      <c r="HP37" s="57"/>
      <c r="HQ37" s="57"/>
      <c r="HR37" s="57"/>
      <c r="HS37" s="57"/>
      <c r="HT37" s="57"/>
      <c r="HU37" s="57"/>
      <c r="HV37" s="57"/>
      <c r="HW37" s="57"/>
      <c r="HX37" s="57"/>
      <c r="HY37" s="57"/>
      <c r="HZ37" s="57"/>
      <c r="IA37" s="57"/>
      <c r="IB37" s="57"/>
      <c r="IC37" s="57"/>
      <c r="ID37" s="57"/>
      <c r="IE37" s="57"/>
      <c r="IF37" s="57"/>
      <c r="IG37" s="57"/>
      <c r="IH37" s="57"/>
      <c r="II37" s="57"/>
      <c r="IJ37" s="57"/>
      <c r="IK37" s="57"/>
      <c r="IL37" s="57"/>
      <c r="IM37" s="57"/>
      <c r="IN37" s="57"/>
      <c r="IO37" s="57"/>
      <c r="IP37" s="57"/>
      <c r="IQ37" s="57"/>
      <c r="IR37" s="57"/>
      <c r="IS37" s="57"/>
      <c r="IT37" s="57"/>
      <c r="IU37" s="57"/>
      <c r="IV37" s="57"/>
    </row>
    <row r="38" spans="1:256">
      <c r="A38" s="58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GL38" s="57"/>
      <c r="GM38" s="57"/>
      <c r="GN38" s="57"/>
      <c r="GO38" s="57"/>
      <c r="GP38" s="57"/>
      <c r="GQ38" s="57"/>
      <c r="GR38" s="57"/>
      <c r="GS38" s="57"/>
      <c r="GT38" s="57"/>
      <c r="GU38" s="57"/>
      <c r="GV38" s="57"/>
      <c r="GW38" s="57"/>
      <c r="GX38" s="57"/>
      <c r="GY38" s="57"/>
      <c r="GZ38" s="57"/>
      <c r="HA38" s="57"/>
      <c r="HB38" s="57"/>
      <c r="HC38" s="57"/>
      <c r="HD38" s="57"/>
      <c r="HE38" s="57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57"/>
      <c r="HQ38" s="57"/>
      <c r="HR38" s="57"/>
      <c r="HS38" s="57"/>
      <c r="HT38" s="57"/>
      <c r="HU38" s="57"/>
      <c r="HV38" s="57"/>
      <c r="HW38" s="57"/>
      <c r="HX38" s="57"/>
      <c r="HY38" s="57"/>
      <c r="HZ38" s="57"/>
      <c r="IA38" s="57"/>
      <c r="IB38" s="57"/>
      <c r="IC38" s="57"/>
      <c r="ID38" s="57"/>
      <c r="IE38" s="57"/>
      <c r="IF38" s="57"/>
      <c r="IG38" s="57"/>
      <c r="IH38" s="57"/>
      <c r="II38" s="57"/>
      <c r="IJ38" s="57"/>
      <c r="IK38" s="57"/>
      <c r="IL38" s="57"/>
      <c r="IM38" s="57"/>
      <c r="IN38" s="57"/>
      <c r="IO38" s="57"/>
      <c r="IP38" s="57"/>
      <c r="IQ38" s="57"/>
      <c r="IR38" s="57"/>
      <c r="IS38" s="57"/>
      <c r="IT38" s="57"/>
      <c r="IU38" s="57"/>
      <c r="IV38" s="57"/>
    </row>
    <row r="39" spans="1:256" ht="17.25">
      <c r="A39" s="59" t="s">
        <v>140</v>
      </c>
      <c r="D39" s="60" t="s">
        <v>34</v>
      </c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  <c r="EY39" s="57"/>
      <c r="EZ39" s="57"/>
      <c r="FA39" s="57"/>
      <c r="FB39" s="57"/>
      <c r="FC39" s="57"/>
      <c r="FD39" s="57"/>
      <c r="FE39" s="57"/>
      <c r="FF39" s="57"/>
      <c r="FG39" s="57"/>
      <c r="FH39" s="57"/>
      <c r="FI39" s="57"/>
      <c r="FJ39" s="57"/>
      <c r="FK39" s="57"/>
      <c r="FL39" s="57"/>
      <c r="FM39" s="57"/>
      <c r="FN39" s="57"/>
      <c r="FO39" s="57"/>
      <c r="FP39" s="57"/>
      <c r="FQ39" s="57"/>
      <c r="FR39" s="57"/>
      <c r="FS39" s="57"/>
      <c r="FT39" s="57"/>
      <c r="FU39" s="57"/>
      <c r="FV39" s="57"/>
      <c r="FW39" s="57"/>
      <c r="FX39" s="57"/>
      <c r="FY39" s="57"/>
      <c r="FZ39" s="57"/>
      <c r="GA39" s="57"/>
      <c r="GB39" s="57"/>
      <c r="GC39" s="57"/>
      <c r="GD39" s="57"/>
      <c r="GE39" s="57"/>
      <c r="GF39" s="57"/>
      <c r="GG39" s="57"/>
      <c r="GH39" s="57"/>
      <c r="GI39" s="57"/>
      <c r="GJ39" s="57"/>
      <c r="GK39" s="57"/>
      <c r="GL39" s="57"/>
      <c r="GM39" s="57"/>
      <c r="GN39" s="57"/>
      <c r="GO39" s="57"/>
      <c r="GP39" s="57"/>
      <c r="GQ39" s="57"/>
      <c r="GR39" s="57"/>
      <c r="GS39" s="57"/>
      <c r="GT39" s="57"/>
      <c r="GU39" s="57"/>
      <c r="GV39" s="57"/>
      <c r="GW39" s="57"/>
      <c r="GX39" s="57"/>
      <c r="GY39" s="57"/>
      <c r="GZ39" s="57"/>
      <c r="HA39" s="57"/>
      <c r="HB39" s="57"/>
      <c r="HC39" s="57"/>
      <c r="HD39" s="57"/>
      <c r="HE39" s="57"/>
      <c r="HF39" s="57"/>
      <c r="HG39" s="57"/>
      <c r="HH39" s="57"/>
      <c r="HI39" s="57"/>
      <c r="HJ39" s="57"/>
      <c r="HK39" s="57"/>
      <c r="HL39" s="57"/>
      <c r="HM39" s="57"/>
      <c r="HN39" s="57"/>
      <c r="HO39" s="57"/>
      <c r="HP39" s="57"/>
      <c r="HQ39" s="57"/>
      <c r="HR39" s="57"/>
      <c r="HS39" s="57"/>
      <c r="HT39" s="57"/>
      <c r="HU39" s="57"/>
      <c r="HV39" s="57"/>
      <c r="HW39" s="57"/>
      <c r="HX39" s="57"/>
      <c r="HY39" s="57"/>
      <c r="HZ39" s="57"/>
      <c r="IA39" s="57"/>
      <c r="IB39" s="57"/>
      <c r="IC39" s="57"/>
      <c r="ID39" s="57"/>
      <c r="IE39" s="57"/>
      <c r="IF39" s="57"/>
      <c r="IG39" s="57"/>
      <c r="IH39" s="57"/>
      <c r="II39" s="57"/>
      <c r="IJ39" s="57"/>
      <c r="IK39" s="57"/>
      <c r="IL39" s="57"/>
      <c r="IM39" s="57"/>
      <c r="IN39" s="57"/>
      <c r="IO39" s="57"/>
      <c r="IP39" s="57"/>
      <c r="IQ39" s="57"/>
      <c r="IR39" s="57"/>
      <c r="IS39" s="57"/>
      <c r="IT39" s="57"/>
      <c r="IU39" s="57"/>
      <c r="IV39" s="57"/>
    </row>
    <row r="40" spans="1:256">
      <c r="A40" s="58" t="s">
        <v>141</v>
      </c>
      <c r="D40" s="25" t="s">
        <v>142</v>
      </c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57"/>
      <c r="FI40" s="57"/>
      <c r="FJ40" s="57"/>
      <c r="FK40" s="57"/>
      <c r="FL40" s="57"/>
      <c r="FM40" s="57"/>
      <c r="FN40" s="57"/>
      <c r="FO40" s="57"/>
      <c r="FP40" s="57"/>
      <c r="FQ40" s="57"/>
      <c r="FR40" s="57"/>
      <c r="FS40" s="57"/>
      <c r="FT40" s="57"/>
      <c r="FU40" s="57"/>
      <c r="FV40" s="57"/>
      <c r="FW40" s="57"/>
      <c r="FX40" s="57"/>
      <c r="FY40" s="57"/>
      <c r="FZ40" s="57"/>
      <c r="GA40" s="57"/>
      <c r="GB40" s="57"/>
      <c r="GC40" s="57"/>
      <c r="GD40" s="57"/>
      <c r="GE40" s="57"/>
      <c r="GF40" s="57"/>
      <c r="GG40" s="57"/>
      <c r="GH40" s="57"/>
      <c r="GI40" s="57"/>
      <c r="GJ40" s="57"/>
      <c r="GK40" s="57"/>
      <c r="GL40" s="57"/>
      <c r="GM40" s="57"/>
      <c r="GN40" s="57"/>
      <c r="GO40" s="57"/>
      <c r="GP40" s="57"/>
      <c r="GQ40" s="57"/>
      <c r="GR40" s="57"/>
      <c r="GS40" s="57"/>
      <c r="GT40" s="57"/>
      <c r="GU40" s="57"/>
      <c r="GV40" s="57"/>
      <c r="GW40" s="57"/>
      <c r="GX40" s="57"/>
      <c r="GY40" s="57"/>
      <c r="GZ40" s="57"/>
      <c r="HA40" s="57"/>
      <c r="HB40" s="57"/>
      <c r="HC40" s="57"/>
      <c r="HD40" s="57"/>
      <c r="HE40" s="57"/>
      <c r="HF40" s="57"/>
      <c r="HG40" s="57"/>
      <c r="HH40" s="57"/>
      <c r="HI40" s="57"/>
      <c r="HJ40" s="57"/>
      <c r="HK40" s="57"/>
      <c r="HL40" s="57"/>
      <c r="HM40" s="57"/>
      <c r="HN40" s="57"/>
      <c r="HO40" s="57"/>
      <c r="HP40" s="57"/>
      <c r="HQ40" s="57"/>
      <c r="HR40" s="57"/>
      <c r="HS40" s="57"/>
      <c r="HT40" s="57"/>
      <c r="HU40" s="57"/>
      <c r="HV40" s="57"/>
      <c r="HW40" s="57"/>
      <c r="HX40" s="57"/>
      <c r="HY40" s="57"/>
      <c r="HZ40" s="57"/>
      <c r="IA40" s="57"/>
      <c r="IB40" s="57"/>
      <c r="IC40" s="57"/>
      <c r="ID40" s="57"/>
      <c r="IE40" s="57"/>
      <c r="IF40" s="57"/>
      <c r="IG40" s="57"/>
      <c r="IH40" s="57"/>
      <c r="II40" s="57"/>
      <c r="IJ40" s="57"/>
      <c r="IK40" s="57"/>
      <c r="IL40" s="57"/>
      <c r="IM40" s="57"/>
      <c r="IN40" s="57"/>
      <c r="IO40" s="57"/>
      <c r="IP40" s="57"/>
      <c r="IQ40" s="57"/>
      <c r="IR40" s="57"/>
      <c r="IS40" s="57"/>
      <c r="IT40" s="57"/>
      <c r="IU40" s="57"/>
      <c r="IV40" s="57"/>
    </row>
    <row r="41" spans="1:256"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  <c r="FK41" s="57"/>
      <c r="FL41" s="57"/>
      <c r="FM41" s="57"/>
      <c r="FN41" s="57"/>
      <c r="FO41" s="57"/>
      <c r="FP41" s="57"/>
      <c r="FQ41" s="57"/>
      <c r="FR41" s="57"/>
      <c r="FS41" s="57"/>
      <c r="FT41" s="57"/>
      <c r="FU41" s="57"/>
      <c r="FV41" s="57"/>
      <c r="FW41" s="57"/>
      <c r="FX41" s="57"/>
      <c r="FY41" s="57"/>
      <c r="FZ41" s="57"/>
      <c r="GA41" s="57"/>
      <c r="GB41" s="57"/>
      <c r="GC41" s="57"/>
      <c r="GD41" s="57"/>
      <c r="GE41" s="57"/>
      <c r="GF41" s="57"/>
      <c r="GG41" s="57"/>
      <c r="GH41" s="57"/>
      <c r="GI41" s="57"/>
      <c r="GJ41" s="57"/>
      <c r="GK41" s="57"/>
      <c r="GL41" s="57"/>
      <c r="GM41" s="57"/>
      <c r="GN41" s="57"/>
      <c r="GO41" s="57"/>
      <c r="GP41" s="57"/>
      <c r="GQ41" s="57"/>
      <c r="GR41" s="57"/>
      <c r="GS41" s="57"/>
      <c r="GT41" s="57"/>
      <c r="GU41" s="57"/>
      <c r="GV41" s="57"/>
      <c r="GW41" s="57"/>
      <c r="GX41" s="57"/>
      <c r="GY41" s="57"/>
      <c r="GZ41" s="57"/>
      <c r="HA41" s="57"/>
      <c r="HB41" s="57"/>
      <c r="HC41" s="57"/>
      <c r="HD41" s="57"/>
      <c r="HE41" s="57"/>
      <c r="HF41" s="57"/>
      <c r="HG41" s="57"/>
      <c r="HH41" s="57"/>
      <c r="HI41" s="57"/>
      <c r="HJ41" s="57"/>
      <c r="HK41" s="57"/>
      <c r="HL41" s="57"/>
      <c r="HM41" s="57"/>
      <c r="HN41" s="57"/>
      <c r="HO41" s="57"/>
      <c r="HP41" s="57"/>
      <c r="HQ41" s="57"/>
      <c r="HR41" s="57"/>
      <c r="HS41" s="57"/>
      <c r="HT41" s="57"/>
      <c r="HU41" s="57"/>
      <c r="HV41" s="57"/>
      <c r="HW41" s="57"/>
      <c r="HX41" s="57"/>
      <c r="HY41" s="57"/>
      <c r="HZ41" s="57"/>
      <c r="IA41" s="57"/>
      <c r="IB41" s="57"/>
      <c r="IC41" s="57"/>
      <c r="ID41" s="57"/>
      <c r="IE41" s="57"/>
      <c r="IF41" s="57"/>
      <c r="IG41" s="57"/>
      <c r="IH41" s="57"/>
      <c r="II41" s="57"/>
      <c r="IJ41" s="57"/>
      <c r="IK41" s="57"/>
      <c r="IL41" s="57"/>
      <c r="IM41" s="57"/>
      <c r="IN41" s="57"/>
      <c r="IO41" s="57"/>
      <c r="IP41" s="57"/>
      <c r="IQ41" s="57"/>
      <c r="IR41" s="57"/>
      <c r="IS41" s="57"/>
      <c r="IT41" s="57"/>
      <c r="IU41" s="57"/>
      <c r="IV41" s="57"/>
    </row>
    <row r="42" spans="1:256"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  <c r="FK42" s="57"/>
      <c r="FL42" s="57"/>
      <c r="FM42" s="57"/>
      <c r="FN42" s="57"/>
      <c r="FO42" s="57"/>
      <c r="FP42" s="57"/>
      <c r="FQ42" s="57"/>
      <c r="FR42" s="57"/>
      <c r="FS42" s="57"/>
      <c r="FT42" s="57"/>
      <c r="FU42" s="57"/>
      <c r="FV42" s="57"/>
      <c r="FW42" s="57"/>
      <c r="FX42" s="57"/>
      <c r="FY42" s="57"/>
      <c r="FZ42" s="57"/>
      <c r="GA42" s="57"/>
      <c r="GB42" s="57"/>
      <c r="GC42" s="57"/>
      <c r="GD42" s="57"/>
      <c r="GE42" s="57"/>
      <c r="GF42" s="57"/>
      <c r="GG42" s="57"/>
      <c r="GH42" s="57"/>
      <c r="GI42" s="57"/>
      <c r="GJ42" s="57"/>
      <c r="GK42" s="57"/>
      <c r="GL42" s="57"/>
      <c r="GM42" s="57"/>
      <c r="GN42" s="57"/>
      <c r="GO42" s="57"/>
      <c r="GP42" s="57"/>
      <c r="GQ42" s="57"/>
      <c r="GR42" s="57"/>
      <c r="GS42" s="57"/>
      <c r="GT42" s="57"/>
      <c r="GU42" s="57"/>
      <c r="GV42" s="57"/>
      <c r="GW42" s="57"/>
      <c r="GX42" s="57"/>
      <c r="GY42" s="57"/>
      <c r="GZ42" s="57"/>
      <c r="HA42" s="57"/>
      <c r="HB42" s="57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57"/>
      <c r="HU42" s="57"/>
      <c r="HV42" s="57"/>
      <c r="HW42" s="57"/>
      <c r="HX42" s="57"/>
      <c r="HY42" s="57"/>
      <c r="HZ42" s="57"/>
      <c r="IA42" s="57"/>
      <c r="IB42" s="57"/>
      <c r="IC42" s="57"/>
      <c r="ID42" s="57"/>
      <c r="IE42" s="57"/>
      <c r="IF42" s="57"/>
      <c r="IG42" s="57"/>
      <c r="IH42" s="57"/>
      <c r="II42" s="57"/>
      <c r="IJ42" s="57"/>
      <c r="IK42" s="57"/>
      <c r="IL42" s="57"/>
      <c r="IM42" s="57"/>
      <c r="IN42" s="57"/>
      <c r="IO42" s="57"/>
      <c r="IP42" s="57"/>
      <c r="IQ42" s="57"/>
      <c r="IR42" s="57"/>
      <c r="IS42" s="57"/>
      <c r="IT42" s="57"/>
      <c r="IU42" s="57"/>
      <c r="IV42" s="57"/>
    </row>
  </sheetData>
  <mergeCells count="5">
    <mergeCell ref="A1:E1"/>
    <mergeCell ref="A4:B4"/>
    <mergeCell ref="A29:B29"/>
    <mergeCell ref="A31:B31"/>
    <mergeCell ref="A33:B33"/>
  </mergeCells>
  <pageMargins left="1.64" right="0.31496062992125984" top="0.19685039370078741" bottom="0.35433070866141736" header="0.31496062992125984" footer="0.31496062992125984"/>
  <pageSetup paperSize="9" scale="7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35"/>
  <sheetViews>
    <sheetView workbookViewId="0">
      <selection activeCell="A24" sqref="A24:XFD24"/>
    </sheetView>
  </sheetViews>
  <sheetFormatPr defaultColWidth="9.140625" defaultRowHeight="15"/>
  <cols>
    <col min="1" max="1" width="17.5703125" style="23" customWidth="1"/>
    <col min="2" max="2" width="62.85546875" style="24" customWidth="1"/>
    <col min="3" max="4" width="17.42578125" style="25" customWidth="1"/>
    <col min="5" max="5" width="17.42578125" style="26" customWidth="1"/>
    <col min="6" max="6" width="4" style="24" customWidth="1"/>
    <col min="7" max="7" width="13.140625" style="24" customWidth="1"/>
    <col min="8" max="8" width="9.7109375" style="24" customWidth="1"/>
    <col min="9" max="16384" width="9.140625" style="24"/>
  </cols>
  <sheetData>
    <row r="1" spans="1:7" ht="18" customHeight="1">
      <c r="A1" s="87" t="s">
        <v>0</v>
      </c>
      <c r="B1" s="87"/>
      <c r="C1" s="88"/>
      <c r="D1" s="88"/>
      <c r="E1" s="87"/>
    </row>
    <row r="2" spans="1:7" ht="18" customHeight="1">
      <c r="A2" s="27" t="s">
        <v>166</v>
      </c>
      <c r="B2" s="28"/>
      <c r="C2" s="29"/>
      <c r="D2" s="29"/>
      <c r="E2" s="30"/>
    </row>
    <row r="3" spans="1:7" s="17" customFormat="1" ht="18" customHeight="1">
      <c r="A3" s="31" t="s">
        <v>2</v>
      </c>
      <c r="B3" s="32" t="s">
        <v>3</v>
      </c>
      <c r="C3" s="33" t="s">
        <v>4</v>
      </c>
      <c r="D3" s="33" t="s">
        <v>5</v>
      </c>
      <c r="E3" s="34" t="s">
        <v>6</v>
      </c>
    </row>
    <row r="4" spans="1:7" s="18" customFormat="1" ht="18" customHeight="1">
      <c r="A4" s="85" t="s">
        <v>144</v>
      </c>
      <c r="B4" s="85"/>
      <c r="C4" s="35">
        <f>'Juni''26'!E29</f>
        <v>9634000</v>
      </c>
      <c r="D4" s="36"/>
      <c r="E4" s="37">
        <f>C4-F4</f>
        <v>9634000</v>
      </c>
    </row>
    <row r="5" spans="1:7" s="19" customFormat="1" ht="21" customHeight="1">
      <c r="A5" s="11">
        <v>46207</v>
      </c>
      <c r="B5" s="38" t="s">
        <v>13</v>
      </c>
      <c r="C5" s="9">
        <v>110000</v>
      </c>
      <c r="D5" s="39"/>
      <c r="E5" s="40">
        <f t="shared" ref="E5:E23" si="0">E4+C5-D5</f>
        <v>9744000</v>
      </c>
      <c r="G5" s="41"/>
    </row>
    <row r="6" spans="1:7" s="19" customFormat="1" ht="21" customHeight="1">
      <c r="A6" s="11"/>
      <c r="B6" s="38"/>
      <c r="C6" s="9"/>
      <c r="D6" s="39"/>
      <c r="E6" s="40">
        <f t="shared" si="0"/>
        <v>9744000</v>
      </c>
      <c r="G6" s="41"/>
    </row>
    <row r="7" spans="1:7" s="19" customFormat="1" ht="21" customHeight="1">
      <c r="A7" s="11"/>
      <c r="B7" s="38"/>
      <c r="C7" s="9"/>
      <c r="D7" s="39"/>
      <c r="E7" s="40">
        <f t="shared" si="0"/>
        <v>9744000</v>
      </c>
      <c r="G7" s="41"/>
    </row>
    <row r="8" spans="1:7" s="19" customFormat="1" ht="21" customHeight="1">
      <c r="A8" s="11"/>
      <c r="B8" s="38"/>
      <c r="C8" s="9"/>
      <c r="D8" s="39"/>
      <c r="E8" s="40">
        <f t="shared" si="0"/>
        <v>9744000</v>
      </c>
      <c r="G8" s="41"/>
    </row>
    <row r="9" spans="1:7" s="19" customFormat="1" ht="21" customHeight="1">
      <c r="A9" s="11"/>
      <c r="B9" s="38"/>
      <c r="C9" s="9"/>
      <c r="D9" s="39"/>
      <c r="E9" s="40">
        <f t="shared" si="0"/>
        <v>9744000</v>
      </c>
      <c r="G9" s="41"/>
    </row>
    <row r="10" spans="1:7" s="19" customFormat="1" ht="21" customHeight="1">
      <c r="A10" s="11"/>
      <c r="B10" s="38"/>
      <c r="C10" s="9"/>
      <c r="D10" s="39"/>
      <c r="E10" s="40">
        <f t="shared" si="0"/>
        <v>9744000</v>
      </c>
      <c r="G10" s="41"/>
    </row>
    <row r="11" spans="1:7" s="19" customFormat="1" ht="21" customHeight="1">
      <c r="A11" s="11"/>
      <c r="B11" s="38"/>
      <c r="C11" s="9"/>
      <c r="D11" s="39"/>
      <c r="E11" s="40">
        <f t="shared" si="0"/>
        <v>9744000</v>
      </c>
      <c r="G11" s="41"/>
    </row>
    <row r="12" spans="1:7" s="19" customFormat="1" ht="21" customHeight="1">
      <c r="A12" s="11"/>
      <c r="B12" s="38"/>
      <c r="C12" s="9"/>
      <c r="D12" s="39"/>
      <c r="E12" s="40">
        <f t="shared" si="0"/>
        <v>9744000</v>
      </c>
      <c r="G12" s="41"/>
    </row>
    <row r="13" spans="1:7" s="19" customFormat="1" ht="21" customHeight="1">
      <c r="A13" s="11"/>
      <c r="B13" s="38"/>
      <c r="C13" s="9"/>
      <c r="D13" s="39"/>
      <c r="E13" s="40">
        <f t="shared" si="0"/>
        <v>9744000</v>
      </c>
      <c r="G13" s="41"/>
    </row>
    <row r="14" spans="1:7" s="19" customFormat="1" ht="21" customHeight="1">
      <c r="A14" s="11"/>
      <c r="B14" s="38"/>
      <c r="C14" s="9"/>
      <c r="D14" s="39"/>
      <c r="E14" s="40">
        <f t="shared" si="0"/>
        <v>9744000</v>
      </c>
      <c r="G14" s="41"/>
    </row>
    <row r="15" spans="1:7" s="20" customFormat="1" ht="21" customHeight="1">
      <c r="A15" s="11"/>
      <c r="B15" s="8"/>
      <c r="C15" s="9"/>
      <c r="D15" s="9"/>
      <c r="E15" s="40">
        <f t="shared" si="0"/>
        <v>9744000</v>
      </c>
      <c r="G15" s="42"/>
    </row>
    <row r="16" spans="1:7" s="20" customFormat="1" ht="21" customHeight="1">
      <c r="A16" s="61"/>
      <c r="B16" s="8"/>
      <c r="C16" s="9"/>
      <c r="D16" s="9"/>
      <c r="E16" s="40">
        <f t="shared" si="0"/>
        <v>9744000</v>
      </c>
      <c r="G16" s="42"/>
    </row>
    <row r="17" spans="1:256" s="20" customFormat="1" ht="21" customHeight="1">
      <c r="A17" s="11"/>
      <c r="B17" s="8"/>
      <c r="C17" s="9"/>
      <c r="D17" s="9"/>
      <c r="E17" s="40">
        <f t="shared" si="0"/>
        <v>9744000</v>
      </c>
      <c r="G17" s="42"/>
    </row>
    <row r="18" spans="1:256" s="20" customFormat="1" ht="21" customHeight="1">
      <c r="A18" s="11"/>
      <c r="B18" s="8"/>
      <c r="C18" s="9"/>
      <c r="D18" s="9"/>
      <c r="E18" s="40">
        <f t="shared" si="0"/>
        <v>9744000</v>
      </c>
      <c r="G18" s="62">
        <v>132000</v>
      </c>
      <c r="H18" s="45" t="s">
        <v>157</v>
      </c>
    </row>
    <row r="19" spans="1:256" s="20" customFormat="1" ht="21" customHeight="1">
      <c r="A19" s="43"/>
      <c r="B19" s="8"/>
      <c r="C19" s="9"/>
      <c r="D19" s="9"/>
      <c r="E19" s="40">
        <f t="shared" si="0"/>
        <v>9744000</v>
      </c>
      <c r="G19" s="44">
        <v>126000</v>
      </c>
      <c r="H19" s="45" t="s">
        <v>22</v>
      </c>
    </row>
    <row r="20" spans="1:256" s="20" customFormat="1" ht="21" customHeight="1">
      <c r="A20" s="43"/>
      <c r="B20" s="8"/>
      <c r="C20" s="9"/>
      <c r="D20" s="9"/>
      <c r="E20" s="40">
        <f t="shared" si="0"/>
        <v>9744000</v>
      </c>
      <c r="G20" s="44">
        <v>932000</v>
      </c>
      <c r="H20" s="45" t="s">
        <v>22</v>
      </c>
    </row>
    <row r="21" spans="1:256" s="20" customFormat="1" ht="21" customHeight="1">
      <c r="A21" s="11"/>
      <c r="B21" s="8"/>
      <c r="C21" s="9"/>
      <c r="D21" s="9"/>
      <c r="E21" s="40">
        <f t="shared" si="0"/>
        <v>9744000</v>
      </c>
      <c r="G21" s="44">
        <v>257000</v>
      </c>
      <c r="H21" s="45" t="s">
        <v>22</v>
      </c>
    </row>
    <row r="22" spans="1:256" s="20" customFormat="1" ht="21" customHeight="1">
      <c r="A22" s="11"/>
      <c r="B22" s="8"/>
      <c r="C22" s="9"/>
      <c r="D22" s="9"/>
      <c r="E22" s="40">
        <f t="shared" si="0"/>
        <v>9744000</v>
      </c>
      <c r="G22" s="44">
        <v>1400000</v>
      </c>
      <c r="H22" s="45" t="s">
        <v>25</v>
      </c>
    </row>
    <row r="23" spans="1:256" s="20" customFormat="1" ht="21" customHeight="1">
      <c r="A23" s="10"/>
      <c r="B23" s="8"/>
      <c r="C23" s="9"/>
      <c r="D23" s="9"/>
      <c r="E23" s="40">
        <f t="shared" si="0"/>
        <v>9744000</v>
      </c>
      <c r="G23" s="44">
        <v>250000</v>
      </c>
      <c r="H23" s="45" t="s">
        <v>26</v>
      </c>
    </row>
    <row r="24" spans="1:256" s="21" customFormat="1" ht="17.25" customHeight="1">
      <c r="A24" s="89" t="s">
        <v>167</v>
      </c>
      <c r="B24" s="89"/>
      <c r="C24" s="46">
        <f>SUM(C4:C23)</f>
        <v>9744000</v>
      </c>
      <c r="D24" s="46">
        <f>SUM(D4:D23)</f>
        <v>0</v>
      </c>
      <c r="E24" s="37">
        <f>C24-D24</f>
        <v>9744000</v>
      </c>
      <c r="G24" s="44">
        <f>SUM(G18:G23)</f>
        <v>3097000</v>
      </c>
      <c r="H24" s="47"/>
    </row>
    <row r="25" spans="1:256" s="22" customFormat="1" ht="6.75" customHeight="1">
      <c r="A25" s="48"/>
      <c r="C25" s="49"/>
      <c r="D25" s="49"/>
      <c r="E25" s="50"/>
    </row>
    <row r="26" spans="1:256" s="22" customFormat="1" ht="17.25" customHeight="1">
      <c r="A26" s="90" t="s">
        <v>168</v>
      </c>
      <c r="B26" s="90"/>
      <c r="C26" s="51">
        <f>C24-C4</f>
        <v>110000</v>
      </c>
      <c r="D26" s="49"/>
      <c r="E26" s="50"/>
      <c r="G26" s="52">
        <f>E24-G24</f>
        <v>6647000</v>
      </c>
    </row>
    <row r="27" spans="1:256" s="22" customFormat="1" ht="5.25" customHeight="1">
      <c r="A27" s="53"/>
      <c r="B27" s="53"/>
      <c r="C27" s="25"/>
      <c r="D27" s="49"/>
      <c r="E27" s="50"/>
    </row>
    <row r="28" spans="1:256" s="22" customFormat="1" ht="17.25" customHeight="1">
      <c r="A28" s="91" t="s">
        <v>169</v>
      </c>
      <c r="B28" s="91"/>
      <c r="C28" s="54">
        <f>D24</f>
        <v>0</v>
      </c>
      <c r="D28" s="49"/>
      <c r="E28" s="50"/>
    </row>
    <row r="29" spans="1:256" ht="24" customHeight="1">
      <c r="A29" s="55"/>
      <c r="D29" s="56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  <c r="IM29" s="57"/>
      <c r="IN29" s="57"/>
      <c r="IO29" s="57"/>
      <c r="IP29" s="57"/>
      <c r="IQ29" s="57"/>
      <c r="IR29" s="57"/>
      <c r="IS29" s="57"/>
      <c r="IT29" s="57"/>
      <c r="IU29" s="57"/>
      <c r="IV29" s="57"/>
    </row>
    <row r="30" spans="1:256">
      <c r="A30" s="55"/>
      <c r="D30" s="56" t="s">
        <v>170</v>
      </c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</row>
    <row r="31" spans="1:256">
      <c r="A31" s="58" t="s">
        <v>31</v>
      </c>
      <c r="D31" s="25" t="s">
        <v>32</v>
      </c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</row>
    <row r="32" spans="1:256">
      <c r="A32" s="58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</row>
    <row r="33" spans="1:256">
      <c r="A33" s="58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</row>
    <row r="34" spans="1:256" ht="17.25">
      <c r="A34" s="59" t="s">
        <v>140</v>
      </c>
      <c r="D34" s="60" t="s">
        <v>34</v>
      </c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7"/>
      <c r="FS34" s="57"/>
      <c r="FT34" s="57"/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  <c r="GL34" s="57"/>
      <c r="GM34" s="57"/>
      <c r="GN34" s="57"/>
      <c r="GO34" s="57"/>
      <c r="GP34" s="57"/>
      <c r="GQ34" s="57"/>
      <c r="GR34" s="57"/>
      <c r="GS34" s="57"/>
      <c r="GT34" s="57"/>
      <c r="GU34" s="57"/>
      <c r="GV34" s="57"/>
      <c r="GW34" s="57"/>
      <c r="GX34" s="57"/>
      <c r="GY34" s="57"/>
      <c r="GZ34" s="57"/>
      <c r="HA34" s="57"/>
      <c r="HB34" s="57"/>
      <c r="HC34" s="57"/>
      <c r="HD34" s="57"/>
      <c r="HE34" s="57"/>
      <c r="HF34" s="57"/>
      <c r="HG34" s="57"/>
      <c r="HH34" s="57"/>
      <c r="HI34" s="57"/>
      <c r="HJ34" s="57"/>
      <c r="HK34" s="57"/>
      <c r="HL34" s="57"/>
      <c r="HM34" s="57"/>
      <c r="HN34" s="57"/>
      <c r="HO34" s="57"/>
      <c r="HP34" s="57"/>
      <c r="HQ34" s="57"/>
      <c r="HR34" s="57"/>
      <c r="HS34" s="57"/>
      <c r="HT34" s="57"/>
      <c r="HU34" s="57"/>
      <c r="HV34" s="57"/>
      <c r="HW34" s="57"/>
      <c r="HX34" s="57"/>
      <c r="HY34" s="57"/>
      <c r="HZ34" s="57"/>
      <c r="IA34" s="57"/>
      <c r="IB34" s="57"/>
      <c r="IC34" s="57"/>
      <c r="ID34" s="57"/>
      <c r="IE34" s="57"/>
      <c r="IF34" s="57"/>
      <c r="IG34" s="57"/>
      <c r="IH34" s="57"/>
      <c r="II34" s="57"/>
      <c r="IJ34" s="57"/>
      <c r="IK34" s="57"/>
      <c r="IL34" s="57"/>
      <c r="IM34" s="57"/>
      <c r="IN34" s="57"/>
      <c r="IO34" s="57"/>
      <c r="IP34" s="57"/>
      <c r="IQ34" s="57"/>
      <c r="IR34" s="57"/>
      <c r="IS34" s="57"/>
      <c r="IT34" s="57"/>
      <c r="IU34" s="57"/>
      <c r="IV34" s="57"/>
    </row>
    <row r="35" spans="1:256">
      <c r="A35" s="58" t="s">
        <v>141</v>
      </c>
      <c r="D35" s="25" t="s">
        <v>142</v>
      </c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/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</row>
  </sheetData>
  <mergeCells count="5">
    <mergeCell ref="A1:E1"/>
    <mergeCell ref="A4:B4"/>
    <mergeCell ref="A24:B24"/>
    <mergeCell ref="A26:B26"/>
    <mergeCell ref="A28:B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V26"/>
  <sheetViews>
    <sheetView workbookViewId="0">
      <selection activeCell="A24" sqref="A24:XFD24"/>
    </sheetView>
  </sheetViews>
  <sheetFormatPr defaultColWidth="9.140625" defaultRowHeight="15"/>
  <cols>
    <col min="1" max="1" width="17.5703125" style="23" customWidth="1"/>
    <col min="2" max="2" width="62.85546875" style="24" customWidth="1"/>
    <col min="3" max="4" width="17.42578125" style="25" customWidth="1"/>
    <col min="5" max="5" width="17.42578125" style="26" customWidth="1"/>
    <col min="6" max="6" width="4" style="24" customWidth="1"/>
    <col min="7" max="7" width="13.140625" style="24" customWidth="1"/>
    <col min="8" max="8" width="9.7109375" style="24" customWidth="1"/>
    <col min="9" max="16384" width="9.140625" style="24"/>
  </cols>
  <sheetData>
    <row r="1" spans="1:8" ht="18" customHeight="1">
      <c r="A1" s="87" t="s">
        <v>0</v>
      </c>
      <c r="B1" s="87"/>
      <c r="C1" s="88"/>
      <c r="D1" s="88"/>
      <c r="E1" s="87"/>
    </row>
    <row r="2" spans="1:8" ht="18" customHeight="1">
      <c r="A2" s="27" t="s">
        <v>171</v>
      </c>
      <c r="B2" s="28"/>
      <c r="C2" s="29"/>
      <c r="D2" s="29"/>
      <c r="E2" s="30"/>
    </row>
    <row r="3" spans="1:8" s="17" customFormat="1" ht="18" customHeight="1">
      <c r="A3" s="31" t="s">
        <v>2</v>
      </c>
      <c r="B3" s="32" t="s">
        <v>3</v>
      </c>
      <c r="C3" s="33" t="s">
        <v>4</v>
      </c>
      <c r="D3" s="33" t="s">
        <v>5</v>
      </c>
      <c r="E3" s="34" t="s">
        <v>6</v>
      </c>
    </row>
    <row r="4" spans="1:8" s="18" customFormat="1" ht="18" customHeight="1">
      <c r="A4" s="85" t="s">
        <v>126</v>
      </c>
      <c r="B4" s="85"/>
      <c r="C4" s="35">
        <f>'Apr''26'!E15</f>
        <v>6032500</v>
      </c>
      <c r="D4" s="36"/>
      <c r="E4" s="37">
        <f>C4-F4</f>
        <v>6032500</v>
      </c>
    </row>
    <row r="5" spans="1:8" s="19" customFormat="1" ht="21" customHeight="1">
      <c r="A5" s="11"/>
      <c r="B5" s="38"/>
      <c r="C5" s="9"/>
      <c r="D5" s="39"/>
      <c r="E5" s="40">
        <f t="shared" ref="E5:E14" si="0">E4+C5-D5</f>
        <v>6032500</v>
      </c>
      <c r="G5" s="41"/>
    </row>
    <row r="6" spans="1:8" s="20" customFormat="1" ht="21" customHeight="1">
      <c r="A6" s="82"/>
      <c r="B6" s="8"/>
      <c r="C6" s="9"/>
      <c r="D6" s="9"/>
      <c r="E6" s="40">
        <f t="shared" si="0"/>
        <v>6032500</v>
      </c>
      <c r="G6" s="42"/>
    </row>
    <row r="7" spans="1:8" s="20" customFormat="1" ht="21" customHeight="1">
      <c r="A7" s="83"/>
      <c r="B7" s="8"/>
      <c r="C7" s="9"/>
      <c r="D7" s="9"/>
      <c r="E7" s="40">
        <f t="shared" si="0"/>
        <v>6032500</v>
      </c>
      <c r="G7" s="42"/>
    </row>
    <row r="8" spans="1:8" s="20" customFormat="1" ht="21" customHeight="1">
      <c r="A8" s="11"/>
      <c r="B8" s="8"/>
      <c r="C8" s="9"/>
      <c r="D8" s="9"/>
      <c r="E8" s="40">
        <f t="shared" si="0"/>
        <v>6032500</v>
      </c>
      <c r="G8" s="42"/>
    </row>
    <row r="9" spans="1:8" s="20" customFormat="1" ht="21" customHeight="1">
      <c r="A9" s="11"/>
      <c r="B9" s="8"/>
      <c r="C9" s="9"/>
      <c r="D9" s="9"/>
      <c r="E9" s="40">
        <f t="shared" si="0"/>
        <v>6032500</v>
      </c>
      <c r="G9" s="42"/>
    </row>
    <row r="10" spans="1:8" s="20" customFormat="1" ht="21" customHeight="1">
      <c r="A10" s="43"/>
      <c r="B10" s="8"/>
      <c r="C10" s="9"/>
      <c r="D10" s="9"/>
      <c r="E10" s="40">
        <f t="shared" si="0"/>
        <v>6032500</v>
      </c>
      <c r="G10" s="44">
        <v>126000</v>
      </c>
      <c r="H10" s="45" t="s">
        <v>22</v>
      </c>
    </row>
    <row r="11" spans="1:8" s="20" customFormat="1" ht="21" customHeight="1">
      <c r="A11" s="43"/>
      <c r="B11" s="8"/>
      <c r="C11" s="9"/>
      <c r="D11" s="9"/>
      <c r="E11" s="40">
        <f t="shared" si="0"/>
        <v>6032500</v>
      </c>
      <c r="G11" s="44">
        <v>932000</v>
      </c>
      <c r="H11" s="45" t="s">
        <v>22</v>
      </c>
    </row>
    <row r="12" spans="1:8" s="20" customFormat="1" ht="21" customHeight="1">
      <c r="A12" s="11"/>
      <c r="B12" s="8"/>
      <c r="C12" s="9"/>
      <c r="D12" s="9"/>
      <c r="E12" s="40">
        <f t="shared" si="0"/>
        <v>6032500</v>
      </c>
      <c r="G12" s="44">
        <v>257000</v>
      </c>
      <c r="H12" s="45" t="s">
        <v>22</v>
      </c>
    </row>
    <row r="13" spans="1:8" s="20" customFormat="1" ht="21" customHeight="1">
      <c r="A13" s="11"/>
      <c r="B13" s="8"/>
      <c r="C13" s="9"/>
      <c r="D13" s="9"/>
      <c r="E13" s="40">
        <f t="shared" si="0"/>
        <v>6032500</v>
      </c>
      <c r="G13" s="44">
        <v>1400000</v>
      </c>
      <c r="H13" s="45" t="s">
        <v>25</v>
      </c>
    </row>
    <row r="14" spans="1:8" s="20" customFormat="1" ht="21" customHeight="1">
      <c r="A14" s="10"/>
      <c r="B14" s="8"/>
      <c r="C14" s="9"/>
      <c r="D14" s="9"/>
      <c r="E14" s="40">
        <f t="shared" si="0"/>
        <v>6032500</v>
      </c>
      <c r="G14" s="44">
        <v>250000</v>
      </c>
      <c r="H14" s="45" t="s">
        <v>26</v>
      </c>
    </row>
    <row r="15" spans="1:8" s="21" customFormat="1" ht="17.25" customHeight="1">
      <c r="A15" s="89" t="s">
        <v>136</v>
      </c>
      <c r="B15" s="89"/>
      <c r="C15" s="46">
        <f>SUM(C4:C14)</f>
        <v>6032500</v>
      </c>
      <c r="D15" s="46">
        <f>SUM(D4:D14)</f>
        <v>0</v>
      </c>
      <c r="E15" s="37">
        <f>C15-D15</f>
        <v>6032500</v>
      </c>
      <c r="G15" s="44">
        <f>SUM(G10:G14)</f>
        <v>2965000</v>
      </c>
      <c r="H15" s="47"/>
    </row>
    <row r="16" spans="1:8" s="22" customFormat="1" ht="6.75" customHeight="1">
      <c r="A16" s="48"/>
      <c r="C16" s="49"/>
      <c r="D16" s="49"/>
      <c r="E16" s="50"/>
    </row>
    <row r="17" spans="1:256" s="22" customFormat="1" ht="17.25" customHeight="1">
      <c r="A17" s="90" t="s">
        <v>137</v>
      </c>
      <c r="B17" s="90"/>
      <c r="C17" s="51">
        <f>C15-C4</f>
        <v>0</v>
      </c>
      <c r="D17" s="49"/>
      <c r="E17" s="50"/>
      <c r="G17" s="52">
        <f>E15-G15</f>
        <v>3067500</v>
      </c>
    </row>
    <row r="18" spans="1:256" s="22" customFormat="1" ht="5.25" customHeight="1">
      <c r="A18" s="53"/>
      <c r="B18" s="53"/>
      <c r="C18" s="25"/>
      <c r="D18" s="49"/>
      <c r="E18" s="50"/>
    </row>
    <row r="19" spans="1:256" s="22" customFormat="1" ht="17.25" customHeight="1">
      <c r="A19" s="91" t="s">
        <v>138</v>
      </c>
      <c r="B19" s="91"/>
      <c r="C19" s="54">
        <f>D15</f>
        <v>0</v>
      </c>
      <c r="D19" s="49"/>
      <c r="E19" s="50"/>
    </row>
    <row r="20" spans="1:256" ht="24" customHeight="1">
      <c r="A20" s="55"/>
      <c r="D20" s="56"/>
      <c r="F20" s="57"/>
      <c r="G20" s="57">
        <v>4357500</v>
      </c>
      <c r="H20" s="57">
        <f>G17-G20</f>
        <v>-1290000</v>
      </c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</row>
    <row r="21" spans="1:256">
      <c r="A21" s="55"/>
      <c r="D21" s="56" t="s">
        <v>172</v>
      </c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HY21" s="57"/>
      <c r="HZ21" s="57"/>
      <c r="IA21" s="57"/>
      <c r="IB21" s="57"/>
      <c r="IC21" s="57"/>
      <c r="ID21" s="57"/>
      <c r="IE21" s="57"/>
      <c r="IF21" s="57"/>
      <c r="IG21" s="57"/>
      <c r="IH21" s="57"/>
      <c r="II21" s="57"/>
      <c r="IJ21" s="57"/>
      <c r="IK21" s="57"/>
      <c r="IL21" s="57"/>
      <c r="IM21" s="57"/>
      <c r="IN21" s="57"/>
      <c r="IO21" s="57"/>
      <c r="IP21" s="57"/>
      <c r="IQ21" s="57"/>
      <c r="IR21" s="57"/>
      <c r="IS21" s="57"/>
      <c r="IT21" s="57"/>
      <c r="IU21" s="57"/>
      <c r="IV21" s="57"/>
    </row>
    <row r="22" spans="1:256">
      <c r="A22" s="58" t="s">
        <v>31</v>
      </c>
      <c r="D22" s="25" t="s">
        <v>32</v>
      </c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  <c r="HO22" s="57"/>
      <c r="HP22" s="57"/>
      <c r="HQ22" s="57"/>
      <c r="HR22" s="57"/>
      <c r="HS22" s="57"/>
      <c r="HT22" s="57"/>
      <c r="HU22" s="57"/>
      <c r="HV22" s="57"/>
      <c r="HW22" s="57"/>
      <c r="HX22" s="57"/>
      <c r="HY22" s="57"/>
      <c r="HZ22" s="57"/>
      <c r="IA22" s="57"/>
      <c r="IB22" s="57"/>
      <c r="IC22" s="57"/>
      <c r="ID22" s="57"/>
      <c r="IE22" s="57"/>
      <c r="IF22" s="57"/>
      <c r="IG22" s="57"/>
      <c r="IH22" s="57"/>
      <c r="II22" s="57"/>
      <c r="IJ22" s="57"/>
      <c r="IK22" s="57"/>
      <c r="IL22" s="57"/>
      <c r="IM22" s="57"/>
      <c r="IN22" s="57"/>
      <c r="IO22" s="57"/>
      <c r="IP22" s="57"/>
      <c r="IQ22" s="57"/>
      <c r="IR22" s="57"/>
      <c r="IS22" s="57"/>
      <c r="IT22" s="57"/>
      <c r="IU22" s="57"/>
      <c r="IV22" s="57"/>
    </row>
    <row r="23" spans="1:256">
      <c r="A23" s="58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/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/>
      <c r="IO23" s="57"/>
      <c r="IP23" s="57"/>
      <c r="IQ23" s="57"/>
      <c r="IR23" s="57"/>
      <c r="IS23" s="57"/>
      <c r="IT23" s="57"/>
      <c r="IU23" s="57"/>
      <c r="IV23" s="57"/>
    </row>
    <row r="24" spans="1:256">
      <c r="A24" s="58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</row>
    <row r="25" spans="1:256" ht="17.25">
      <c r="A25" s="59" t="s">
        <v>140</v>
      </c>
      <c r="D25" s="60" t="s">
        <v>34</v>
      </c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</row>
    <row r="26" spans="1:256">
      <c r="A26" s="58" t="s">
        <v>141</v>
      </c>
      <c r="D26" s="25" t="s">
        <v>142</v>
      </c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7"/>
      <c r="FO26" s="57"/>
      <c r="FP26" s="57"/>
      <c r="FQ26" s="57"/>
      <c r="FR26" s="57"/>
      <c r="FS26" s="57"/>
      <c r="FT26" s="57"/>
      <c r="FU26" s="57"/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  <c r="GL26" s="57"/>
      <c r="GM26" s="57"/>
      <c r="GN26" s="57"/>
      <c r="GO26" s="57"/>
      <c r="GP26" s="57"/>
      <c r="GQ26" s="57"/>
      <c r="GR26" s="57"/>
      <c r="GS26" s="57"/>
      <c r="GT26" s="57"/>
      <c r="GU26" s="57"/>
      <c r="GV26" s="57"/>
      <c r="GW26" s="57"/>
      <c r="GX26" s="57"/>
      <c r="GY26" s="57"/>
      <c r="GZ26" s="57"/>
      <c r="HA26" s="57"/>
      <c r="HB26" s="57"/>
      <c r="HC26" s="57"/>
      <c r="HD26" s="57"/>
      <c r="HE26" s="57"/>
      <c r="HF26" s="57"/>
      <c r="HG26" s="57"/>
      <c r="HH26" s="57"/>
      <c r="HI26" s="57"/>
      <c r="HJ26" s="57"/>
      <c r="HK26" s="57"/>
      <c r="HL26" s="57"/>
      <c r="HM26" s="57"/>
      <c r="HN26" s="57"/>
      <c r="HO26" s="57"/>
      <c r="HP26" s="57"/>
      <c r="HQ26" s="57"/>
      <c r="HR26" s="57"/>
      <c r="HS26" s="57"/>
      <c r="HT26" s="57"/>
      <c r="HU26" s="57"/>
      <c r="HV26" s="57"/>
      <c r="HW26" s="57"/>
      <c r="HX26" s="57"/>
      <c r="HY26" s="57"/>
      <c r="HZ26" s="57"/>
      <c r="IA26" s="57"/>
      <c r="IB26" s="57"/>
      <c r="IC26" s="57"/>
      <c r="ID26" s="57"/>
      <c r="IE26" s="57"/>
      <c r="IF26" s="57"/>
      <c r="IG26" s="57"/>
      <c r="IH26" s="57"/>
      <c r="II26" s="57"/>
      <c r="IJ26" s="57"/>
      <c r="IK26" s="57"/>
      <c r="IL26" s="57"/>
      <c r="IM26" s="57"/>
      <c r="IN26" s="57"/>
      <c r="IO26" s="57"/>
      <c r="IP26" s="57"/>
      <c r="IQ26" s="57"/>
      <c r="IR26" s="57"/>
      <c r="IS26" s="57"/>
      <c r="IT26" s="57"/>
      <c r="IU26" s="57"/>
      <c r="IV26" s="57"/>
    </row>
  </sheetData>
  <mergeCells count="6">
    <mergeCell ref="A1:E1"/>
    <mergeCell ref="A4:B4"/>
    <mergeCell ref="A15:B15"/>
    <mergeCell ref="A17:B17"/>
    <mergeCell ref="A19:B19"/>
    <mergeCell ref="A6:A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9"/>
  <sheetViews>
    <sheetView topLeftCell="A10" workbookViewId="0">
      <selection activeCell="F27" sqref="F27"/>
    </sheetView>
  </sheetViews>
  <sheetFormatPr defaultColWidth="9.140625" defaultRowHeight="15"/>
  <cols>
    <col min="1" max="1" width="12.85546875" customWidth="1"/>
    <col min="2" max="2" width="73" customWidth="1"/>
    <col min="3" max="3" width="14.28515625" customWidth="1"/>
    <col min="4" max="4" width="15.5703125" customWidth="1"/>
  </cols>
  <sheetData>
    <row r="1" spans="1:4" ht="18.75">
      <c r="A1" s="94" t="s">
        <v>173</v>
      </c>
      <c r="B1" s="94"/>
      <c r="C1" s="95"/>
      <c r="D1" s="95"/>
    </row>
    <row r="2" spans="1:4" ht="18.75">
      <c r="A2" s="1" t="s">
        <v>174</v>
      </c>
      <c r="B2" s="2"/>
      <c r="C2" s="3"/>
      <c r="D2" s="3"/>
    </row>
    <row r="3" spans="1:4" ht="15.75">
      <c r="A3" s="4" t="s">
        <v>2</v>
      </c>
      <c r="B3" s="5" t="s">
        <v>3</v>
      </c>
      <c r="C3" s="6" t="s">
        <v>4</v>
      </c>
      <c r="D3" s="6" t="s">
        <v>5</v>
      </c>
    </row>
    <row r="4" spans="1:4">
      <c r="A4" s="7">
        <v>46148</v>
      </c>
      <c r="B4" s="8" t="s">
        <v>130</v>
      </c>
      <c r="C4" s="9"/>
      <c r="D4" s="9">
        <v>916000</v>
      </c>
    </row>
    <row r="5" spans="1:4">
      <c r="A5" s="7">
        <v>46155</v>
      </c>
      <c r="B5" s="8" t="s">
        <v>134</v>
      </c>
      <c r="C5" s="9"/>
      <c r="D5" s="9">
        <v>1000000</v>
      </c>
    </row>
    <row r="6" spans="1:4">
      <c r="A6" s="10">
        <v>46183</v>
      </c>
      <c r="B6" s="8" t="s">
        <v>148</v>
      </c>
      <c r="C6" s="9">
        <v>200000</v>
      </c>
      <c r="D6" s="9"/>
    </row>
    <row r="7" spans="1:4">
      <c r="A7" s="10">
        <v>46183</v>
      </c>
      <c r="B7" s="8" t="s">
        <v>149</v>
      </c>
      <c r="C7" s="9">
        <v>230000</v>
      </c>
      <c r="D7" s="9"/>
    </row>
    <row r="8" spans="1:4">
      <c r="A8" s="10">
        <v>46183</v>
      </c>
      <c r="B8" s="8" t="s">
        <v>150</v>
      </c>
      <c r="C8" s="9">
        <v>250000</v>
      </c>
      <c r="D8" s="9"/>
    </row>
    <row r="9" spans="1:4">
      <c r="A9" s="10">
        <v>46183</v>
      </c>
      <c r="B9" s="8" t="s">
        <v>151</v>
      </c>
      <c r="C9" s="9">
        <v>225000</v>
      </c>
      <c r="D9" s="9"/>
    </row>
    <row r="10" spans="1:4">
      <c r="A10" s="10">
        <v>46183</v>
      </c>
      <c r="B10" s="8" t="s">
        <v>152</v>
      </c>
      <c r="C10" s="9">
        <v>350000</v>
      </c>
      <c r="D10" s="9"/>
    </row>
    <row r="11" spans="1:4">
      <c r="A11" s="10">
        <v>46183</v>
      </c>
      <c r="B11" s="8" t="s">
        <v>153</v>
      </c>
      <c r="C11" s="9">
        <v>230000</v>
      </c>
      <c r="D11" s="9"/>
    </row>
    <row r="12" spans="1:4">
      <c r="A12" s="10">
        <v>46183</v>
      </c>
      <c r="B12" s="8" t="s">
        <v>154</v>
      </c>
      <c r="C12" s="9">
        <v>370000</v>
      </c>
      <c r="D12" s="9"/>
    </row>
    <row r="13" spans="1:4">
      <c r="A13" s="11">
        <v>46186</v>
      </c>
      <c r="B13" s="12" t="s">
        <v>155</v>
      </c>
      <c r="C13" s="9"/>
      <c r="D13" s="9">
        <v>60000</v>
      </c>
    </row>
    <row r="14" spans="1:4">
      <c r="A14" s="11">
        <v>46193</v>
      </c>
      <c r="B14" s="12" t="s">
        <v>156</v>
      </c>
      <c r="C14" s="9"/>
      <c r="D14" s="9">
        <v>26000</v>
      </c>
    </row>
    <row r="15" spans="1:4">
      <c r="A15" s="11">
        <v>46196</v>
      </c>
      <c r="B15" s="12" t="s">
        <v>158</v>
      </c>
      <c r="C15" s="9"/>
      <c r="D15" s="9">
        <v>2300000</v>
      </c>
    </row>
    <row r="16" spans="1:4">
      <c r="C16" s="9">
        <f>SUM(C4:C15)</f>
        <v>1855000</v>
      </c>
      <c r="D16" s="9">
        <f>SUM(D4:D15)</f>
        <v>4302000</v>
      </c>
    </row>
    <row r="20" spans="1:4" ht="18.75">
      <c r="A20" s="94" t="s">
        <v>175</v>
      </c>
      <c r="B20" s="94"/>
      <c r="C20" s="95"/>
      <c r="D20" s="95"/>
    </row>
    <row r="21" spans="1:4" ht="18.75">
      <c r="A21" s="1" t="s">
        <v>176</v>
      </c>
      <c r="B21" s="2"/>
      <c r="C21" s="3"/>
      <c r="D21" s="3"/>
    </row>
    <row r="22" spans="1:4" ht="15.75">
      <c r="A22" s="4" t="s">
        <v>177</v>
      </c>
      <c r="B22" s="6" t="s">
        <v>4</v>
      </c>
      <c r="C22" s="6" t="s">
        <v>5</v>
      </c>
    </row>
    <row r="23" spans="1:4">
      <c r="A23" s="13" t="s">
        <v>178</v>
      </c>
      <c r="B23" s="14">
        <f>'Jan''26'!C26</f>
        <v>3546000</v>
      </c>
      <c r="C23" s="14">
        <f>'Jan''26'!C28</f>
        <v>1200000</v>
      </c>
    </row>
    <row r="24" spans="1:4">
      <c r="A24" s="13" t="s">
        <v>179</v>
      </c>
      <c r="B24" s="14">
        <f>'Feb''26'!C19</f>
        <v>3127000</v>
      </c>
      <c r="C24" s="14">
        <f>'Feb''26'!C21</f>
        <v>1141000</v>
      </c>
    </row>
    <row r="25" spans="1:4">
      <c r="A25" s="13" t="s">
        <v>180</v>
      </c>
      <c r="B25" s="14">
        <f>'Mar''26'!C27</f>
        <v>3847000</v>
      </c>
      <c r="C25" s="14">
        <f>'Mar''26'!C29</f>
        <v>2689500</v>
      </c>
    </row>
    <row r="26" spans="1:4">
      <c r="A26" s="13" t="s">
        <v>181</v>
      </c>
      <c r="B26" s="14">
        <f>'Apr''26'!C17</f>
        <v>1629000</v>
      </c>
      <c r="C26" s="14">
        <f>'Apr''26'!C19</f>
        <v>752000</v>
      </c>
    </row>
    <row r="27" spans="1:4">
      <c r="A27" s="13" t="s">
        <v>182</v>
      </c>
      <c r="B27" s="14">
        <f>'Mei''26'!C24</f>
        <v>2800000</v>
      </c>
      <c r="C27" s="14">
        <f>'Mei''26'!C26</f>
        <v>2495500</v>
      </c>
    </row>
    <row r="28" spans="1:4">
      <c r="A28" s="13" t="s">
        <v>183</v>
      </c>
      <c r="B28" s="14">
        <f>'Juni''26'!C31</f>
        <v>6019000</v>
      </c>
      <c r="C28" s="14">
        <f>'Juni''26'!C33</f>
        <v>2722000</v>
      </c>
    </row>
    <row r="29" spans="1:4">
      <c r="A29" s="15" t="s">
        <v>184</v>
      </c>
      <c r="B29" s="16">
        <f>SUM(B23:B28)</f>
        <v>20968000</v>
      </c>
      <c r="C29" s="16">
        <f>SUM(C23:C28)</f>
        <v>11000000</v>
      </c>
    </row>
  </sheetData>
  <mergeCells count="2">
    <mergeCell ref="A1:D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kas</vt:lpstr>
      <vt:lpstr>Jan'26</vt:lpstr>
      <vt:lpstr>Feb'26</vt:lpstr>
      <vt:lpstr>Bazar</vt:lpstr>
      <vt:lpstr>Mar'26</vt:lpstr>
      <vt:lpstr>Apr'26</vt:lpstr>
      <vt:lpstr>Mei'26</vt:lpstr>
      <vt:lpstr>Juni'26</vt:lpstr>
      <vt:lpstr>Juli'26</vt:lpstr>
      <vt:lpstr>Agust'26</vt:lpstr>
      <vt:lpstr>Rekap</vt:lpstr>
      <vt:lpstr>'Apr''26'!Print_Area</vt:lpstr>
      <vt:lpstr>'Feb''26'!Print_Area</vt:lpstr>
      <vt:lpstr>'Jan''26'!Print_Area</vt:lpstr>
      <vt:lpstr>'Juni''26'!Print_Area</vt:lpstr>
      <vt:lpstr>kas!Print_Area</vt:lpstr>
      <vt:lpstr>'Mar''26'!Print_Area</vt:lpstr>
      <vt:lpstr>'Mei''26'!Print_Area</vt:lpstr>
      <vt:lpstr>'Jan''26'!Print_Titles</vt:lpstr>
      <vt:lpstr>'Juni''26'!Print_Titles</vt:lpstr>
      <vt:lpstr>kas!Print_Titles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masdodon</dc:creator>
  <cp:lastModifiedBy>M.FAHMI ILMAN N</cp:lastModifiedBy>
  <cp:lastPrinted>2026-07-29T13:38:25Z</cp:lastPrinted>
  <dcterms:created xsi:type="dcterms:W3CDTF">2025-01-03T07:03:00Z</dcterms:created>
  <dcterms:modified xsi:type="dcterms:W3CDTF">2026-08-02T09:05:15Z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9465320C5EB84CB89E141DD589DF91D2_13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